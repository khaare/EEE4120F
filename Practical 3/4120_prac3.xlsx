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mldkha010_myuct_ac_za/Documents/"/>
    </mc:Choice>
  </mc:AlternateContent>
  <xr:revisionPtr revIDLastSave="0" documentId="8_{DAC0CB62-EC73-4368-99A8-54D11E86B88B}" xr6:coauthVersionLast="47" xr6:coauthVersionMax="47" xr10:uidLastSave="{00000000-0000-0000-0000-000000000000}"/>
  <bookViews>
    <workbookView xWindow="-110" yWindow="-110" windowWidth="19420" windowHeight="11500" xr2:uid="{D95DDE08-ECF8-47A3-9AFC-93EFC42332ED}"/>
  </bookViews>
  <sheets>
    <sheet name="Sheet1" sheetId="1" r:id="rId1"/>
  </sheets>
  <definedNames>
    <definedName name="_xlchart.v1.0" hidden="1">Sheet1!$N$18:$N$21</definedName>
    <definedName name="_xlchart.v1.1" hidden="1">Sheet1!$N$8:$N$15</definedName>
    <definedName name="_xlchart.v1.2" hidden="1">Sheet1!$T$18:$T$21</definedName>
    <definedName name="_xlchart.v1.3" hidden="1">Sheet1!$T$8:$T$15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1" l="1"/>
  <c r="O18" i="1"/>
  <c r="R21" i="1"/>
  <c r="T21" i="1" s="1"/>
  <c r="Q21" i="1"/>
  <c r="P21" i="1"/>
  <c r="O21" i="1"/>
  <c r="R20" i="1"/>
  <c r="T20" i="1" s="1"/>
  <c r="Q20" i="1"/>
  <c r="P20" i="1"/>
  <c r="O20" i="1"/>
  <c r="R19" i="1"/>
  <c r="T19" i="1" s="1"/>
  <c r="Q19" i="1"/>
  <c r="P19" i="1"/>
  <c r="O19" i="1"/>
  <c r="R18" i="1"/>
  <c r="T18" i="1" s="1"/>
  <c r="Q18" i="1"/>
  <c r="P18" i="1"/>
  <c r="R15" i="1"/>
  <c r="T15" i="1" s="1"/>
  <c r="Q15" i="1"/>
  <c r="R14" i="1"/>
  <c r="T14" i="1" s="1"/>
  <c r="Q14" i="1"/>
  <c r="R13" i="1"/>
  <c r="T13" i="1" s="1"/>
  <c r="Q13" i="1"/>
  <c r="R12" i="1"/>
  <c r="T12" i="1" s="1"/>
  <c r="Q12" i="1"/>
  <c r="P15" i="1"/>
  <c r="P14" i="1"/>
  <c r="P13" i="1"/>
  <c r="P12" i="1"/>
  <c r="R11" i="1"/>
  <c r="T11" i="1" s="1"/>
  <c r="Q11" i="1"/>
  <c r="P11" i="1"/>
  <c r="O15" i="1"/>
  <c r="O14" i="1"/>
  <c r="O13" i="1"/>
  <c r="O12" i="1"/>
  <c r="O11" i="1"/>
  <c r="R10" i="1"/>
  <c r="T10" i="1" s="1"/>
  <c r="Q10" i="1"/>
  <c r="P10" i="1"/>
  <c r="O10" i="1"/>
  <c r="R9" i="1"/>
  <c r="T9" i="1" s="1"/>
  <c r="Q9" i="1"/>
  <c r="P9" i="1"/>
  <c r="O9" i="1"/>
  <c r="R8" i="1"/>
  <c r="T8" i="1" s="1"/>
  <c r="Q8" i="1"/>
  <c r="P8" i="1"/>
  <c r="O8" i="1"/>
  <c r="S19" i="1" l="1"/>
  <c r="U19" i="1" s="1"/>
  <c r="S18" i="1"/>
  <c r="U18" i="1" s="1"/>
  <c r="S21" i="1"/>
  <c r="U21" i="1" s="1"/>
  <c r="S20" i="1"/>
  <c r="U20" i="1" s="1"/>
  <c r="S15" i="1"/>
  <c r="U15" i="1" s="1"/>
  <c r="S11" i="1"/>
  <c r="U11" i="1" s="1"/>
  <c r="S10" i="1"/>
  <c r="U10" i="1" s="1"/>
  <c r="S9" i="1"/>
  <c r="U9" i="1" s="1"/>
  <c r="S12" i="1"/>
  <c r="U12" i="1" s="1"/>
  <c r="S8" i="1"/>
  <c r="U8" i="1" s="1"/>
  <c r="S13" i="1"/>
  <c r="U13" i="1" s="1"/>
  <c r="S14" i="1"/>
  <c r="U14" i="1" s="1"/>
</calcChain>
</file>

<file path=xl/sharedStrings.xml><?xml version="1.0" encoding="utf-8"?>
<sst xmlns="http://schemas.openxmlformats.org/spreadsheetml/2006/main" count="1459" uniqueCount="253">
  <si>
    <t>khaarendiwe@MyVM:~/EEE4120F_PRAC3$ for i in {1..10}; do ./openmp_ -i input.txt -p 1; done</t>
  </si>
  <si>
    <t>=== Wariara Freights Inc. – Optimal Route (OpenMP) ===</t>
  </si>
  <si>
    <t>Cities          : 10</t>
  </si>
  <si>
    <t>Threads used    : 1</t>
  </si>
  <si>
    <t>Minimum energy  : 207 kWh</t>
  </si>
  <si>
    <t>Optimal route   : 1 -&gt; 10 -&gt; 4 -&gt; 9 -&gt; 6 -&gt; 5 -&gt; 8 -&gt; 3 -&gt; 2 -&gt; 7</t>
  </si>
  <si>
    <t>=== Branch-and-Bound Statistics ===</t>
  </si>
  <si>
    <t>Theoretical max : 362880  (= (10-1)! = 9!)</t>
  </si>
  <si>
    <t>Total nodes hit : 94224</t>
  </si>
  <si>
    <t>Pruning rate    : 99.97%</t>
  </si>
  <si>
    <t>=== Timing ===</t>
  </si>
  <si>
    <t>Total           : 0.001700 s</t>
  </si>
  <si>
    <t>Total           : 0.001266 s</t>
  </si>
  <si>
    <t>Total           : 0.001406 s</t>
  </si>
  <si>
    <t>Total           : 0.001411 s</t>
  </si>
  <si>
    <t>Total           : 0.001597 s</t>
  </si>
  <si>
    <t>Total           : 0.001491 s</t>
  </si>
  <si>
    <t>Total           : 0.001282 s</t>
  </si>
  <si>
    <t>Total           : 0.001509 s</t>
  </si>
  <si>
    <t>Total           : 0.001269 s</t>
  </si>
  <si>
    <t>Total           : 0.001679 s</t>
  </si>
  <si>
    <t>khaarendiwe@MyVM:~/EEE4120F_PRAC3$ for i in {1..10}; do ./openmp_ -i input.txt -p 2; done</t>
  </si>
  <si>
    <t>Threads used    : 2</t>
  </si>
  <si>
    <t>Total nodes hit : 93278</t>
  </si>
  <si>
    <t>Total           : 0.001763 s</t>
  </si>
  <si>
    <t>Total nodes hit : 94000</t>
  </si>
  <si>
    <t>Total           : 0.001885 s</t>
  </si>
  <si>
    <t>Total nodes hit : 97339</t>
  </si>
  <si>
    <t>Total           : 0.001539 s</t>
  </si>
  <si>
    <t>Total nodes hit : 94400</t>
  </si>
  <si>
    <t>Total           : 0.003697 s</t>
  </si>
  <si>
    <t>Total nodes hit : 92355</t>
  </si>
  <si>
    <t>Total nodes hit : 97514</t>
  </si>
  <si>
    <t>Pruning rate    : 99.98%</t>
  </si>
  <si>
    <t>Total           : 0.001673 s</t>
  </si>
  <si>
    <t>Total nodes hit : 97296</t>
  </si>
  <si>
    <t>Total           : 0.002793 s</t>
  </si>
  <si>
    <t>Total nodes hit : 95727</t>
  </si>
  <si>
    <t>Total           : 0.001579 s</t>
  </si>
  <si>
    <t>Total nodes hit : 99097</t>
  </si>
  <si>
    <t>Total nodes hit : 92132</t>
  </si>
  <si>
    <t>Total           : 0.003744 s</t>
  </si>
  <si>
    <t>khaarendiwe@MyVM:~/EEE4120F_PRAC3$ for i in {1..10}; do ./openmp_ -i input.txt -p 3; done</t>
  </si>
  <si>
    <t>Threads used    : 3</t>
  </si>
  <si>
    <t>Total nodes hit : 82299</t>
  </si>
  <si>
    <t>Total           : 0.003159 s</t>
  </si>
  <si>
    <t>Total nodes hit : 97202</t>
  </si>
  <si>
    <t>Total           : 0.005371 s</t>
  </si>
  <si>
    <t>Total nodes hit : 96030</t>
  </si>
  <si>
    <t>Total           : 0.002379 s</t>
  </si>
  <si>
    <t>Total nodes hit : 91972</t>
  </si>
  <si>
    <t>Total           : 0.004124 s</t>
  </si>
  <si>
    <t>Total nodes hit : 90847</t>
  </si>
  <si>
    <t>Total           : 0.001496 s</t>
  </si>
  <si>
    <t>Total nodes hit : 92651</t>
  </si>
  <si>
    <t>Total           : 0.001389 s</t>
  </si>
  <si>
    <t>Total nodes hit : 97164</t>
  </si>
  <si>
    <t>Total           : 0.001774 s</t>
  </si>
  <si>
    <t>Total nodes hit : 92271</t>
  </si>
  <si>
    <t>Total           : 0.001692 s</t>
  </si>
  <si>
    <t>Total nodes hit : 101770</t>
  </si>
  <si>
    <t>Total           : 0.001630 s</t>
  </si>
  <si>
    <t>Total nodes hit : 97158</t>
  </si>
  <si>
    <t>Total           : 0.002417 s</t>
  </si>
  <si>
    <t>khaarendiwe@MyVM:~/EEE4120F_PRAC3$ for i in {1..10}; do ./openmp_ -i input.txt -p 4; done</t>
  </si>
  <si>
    <t>Threads used    : 4</t>
  </si>
  <si>
    <t>Total nodes hit : 88625</t>
  </si>
  <si>
    <t>Total           : 0.013159 s</t>
  </si>
  <si>
    <t>Total nodes hit : 99910</t>
  </si>
  <si>
    <t>Total           : 0.002848 s</t>
  </si>
  <si>
    <t>Total nodes hit : 92527</t>
  </si>
  <si>
    <t>Total           : 0.024148 s</t>
  </si>
  <si>
    <t>Total nodes hit : 98008</t>
  </si>
  <si>
    <t>Total           : 0.002927 s</t>
  </si>
  <si>
    <t>Total nodes hit : 97145</t>
  </si>
  <si>
    <t>Total           : 0.001641 s</t>
  </si>
  <si>
    <t>Total nodes hit : 87807</t>
  </si>
  <si>
    <t>Total           : 0.003775 s</t>
  </si>
  <si>
    <t>Total nodes hit : 103037</t>
  </si>
  <si>
    <t>Total nodes hit : 100425</t>
  </si>
  <si>
    <t>Total nodes hit : 87651</t>
  </si>
  <si>
    <t>Total nodes hit : 88476</t>
  </si>
  <si>
    <t>khaarendiwe@MyVM:~/EEE4120F_PRAC3$ for i in {1..10}; do ./openmp_ -i input.txt -p 5; done</t>
  </si>
  <si>
    <t>Threads used    : 5</t>
  </si>
  <si>
    <t>Total nodes hit : 98879</t>
  </si>
  <si>
    <t>Total           : 0.002578 s</t>
  </si>
  <si>
    <t>Total nodes hit : 102699</t>
  </si>
  <si>
    <t>Total           : 0.002601 s</t>
  </si>
  <si>
    <t>Total nodes hit : 90831</t>
  </si>
  <si>
    <t>Total           : 0.002762 s</t>
  </si>
  <si>
    <t>Total nodes hit : 86657</t>
  </si>
  <si>
    <t>Total           : 0.001980 s</t>
  </si>
  <si>
    <t>Total nodes hit : 105190</t>
  </si>
  <si>
    <t>Total nodes hit : 115535</t>
  </si>
  <si>
    <t>Total nodes hit : 98484</t>
  </si>
  <si>
    <t>Total           : 0.002362 s</t>
  </si>
  <si>
    <t>Total nodes hit : 89595</t>
  </si>
  <si>
    <t>Total           : 0.001877 s</t>
  </si>
  <si>
    <t>Total nodes hit : 89951</t>
  </si>
  <si>
    <t>Total           : 0.002160 s</t>
  </si>
  <si>
    <t>Total nodes hit : 93533</t>
  </si>
  <si>
    <t>Total           : 0.002075 s</t>
  </si>
  <si>
    <t>khaarendiwe@MyVM:~/EEE4120F_PRAC3$ for i in {1..10}; do ./openmp_ -i input.txt -p 6; done</t>
  </si>
  <si>
    <t>Threads used    : 6</t>
  </si>
  <si>
    <t>Total nodes hit : 91059</t>
  </si>
  <si>
    <t>Total           : 0.002726 s</t>
  </si>
  <si>
    <t>Total nodes hit : 99265</t>
  </si>
  <si>
    <t>Total           : 0.006507 s</t>
  </si>
  <si>
    <t>Total nodes hit : 92006</t>
  </si>
  <si>
    <t>Total           : 0.003488 s</t>
  </si>
  <si>
    <t>Total nodes hit : 94889</t>
  </si>
  <si>
    <t>Total           : 0.002131 s</t>
  </si>
  <si>
    <t>Total nodes hit : 108590</t>
  </si>
  <si>
    <t>Total           : 0.002428 s</t>
  </si>
  <si>
    <t>Total nodes hit : 103884</t>
  </si>
  <si>
    <t>Total           : 0.002890 s</t>
  </si>
  <si>
    <t>Total nodes hit : 98190</t>
  </si>
  <si>
    <t>Total           : 0.002678 s</t>
  </si>
  <si>
    <t>Total nodes hit : 91858</t>
  </si>
  <si>
    <t>Total           : 0.004723 s</t>
  </si>
  <si>
    <t>Total nodes hit : 88963</t>
  </si>
  <si>
    <t>Total           : 0.002105 s</t>
  </si>
  <si>
    <t>Total nodes hit : 95405</t>
  </si>
  <si>
    <t>Total           : 0.002729 s</t>
  </si>
  <si>
    <t>khaarendiwe@MyVM:~/EEE4120F_PRAC3$ for i in {1..10}; do ./openmp_ -i input.txt -p 7; done</t>
  </si>
  <si>
    <t>Threads used    : 7</t>
  </si>
  <si>
    <t>Total nodes hit : 112027</t>
  </si>
  <si>
    <t>Total           : 0.002881 s</t>
  </si>
  <si>
    <t>Total nodes hit : 94048</t>
  </si>
  <si>
    <t>Total           : 0.005315 s</t>
  </si>
  <si>
    <t>Total nodes hit : 90713</t>
  </si>
  <si>
    <t>Total           : 0.002665 s</t>
  </si>
  <si>
    <t>Total nodes hit : 108971</t>
  </si>
  <si>
    <t>Total           : 0.004552 s</t>
  </si>
  <si>
    <t>Total nodes hit : 93576</t>
  </si>
  <si>
    <t>Total           : 0.003378 s</t>
  </si>
  <si>
    <t>Total nodes hit : 109314</t>
  </si>
  <si>
    <t>Total           : 0.002824 s</t>
  </si>
  <si>
    <t>Total nodes hit : 93995</t>
  </si>
  <si>
    <t>Total           : 0.001956 s</t>
  </si>
  <si>
    <t>Total nodes hit : 96005</t>
  </si>
  <si>
    <t>Total           : 0.002055 s</t>
  </si>
  <si>
    <t>Total nodes hit : 109836</t>
  </si>
  <si>
    <t>Total           : 0.005586 s</t>
  </si>
  <si>
    <t>Total nodes hit : 93729</t>
  </si>
  <si>
    <t>Total           : 0.003464 s</t>
  </si>
  <si>
    <t>khaarendiwe@MyVM:~/EEE4120F_PRAC3$ for i in {1..10}; do ./openmp_ -i input.txt -p 8; done</t>
  </si>
  <si>
    <t>Threads used    : 8</t>
  </si>
  <si>
    <t>Total nodes hit : 91923</t>
  </si>
  <si>
    <t>Total           : 0.002158 s</t>
  </si>
  <si>
    <t>Total nodes hit : 102281</t>
  </si>
  <si>
    <t>Total           : 0.003092 s</t>
  </si>
  <si>
    <t>Total nodes hit : 97183</t>
  </si>
  <si>
    <t>Total           : 0.004597 s</t>
  </si>
  <si>
    <t>Total nodes hit : 94011</t>
  </si>
  <si>
    <t>Total           : 0.002953 s</t>
  </si>
  <si>
    <t>Total nodes hit : 90409</t>
  </si>
  <si>
    <t>Total           : 0.004205 s</t>
  </si>
  <si>
    <t>Total nodes hit : 94657</t>
  </si>
  <si>
    <t>Total           : 0.002958 s</t>
  </si>
  <si>
    <t>Total nodes hit : 91909</t>
  </si>
  <si>
    <t>Total           : 0.004897 s</t>
  </si>
  <si>
    <t>Total nodes hit : 87867</t>
  </si>
  <si>
    <t>Total           : 0.002788 s</t>
  </si>
  <si>
    <t>Total nodes hit : 93128</t>
  </si>
  <si>
    <t>Total           : 0.002573 s</t>
  </si>
  <si>
    <t>Total nodes hit : 95263</t>
  </si>
  <si>
    <t>Total           : 0.004183 s</t>
  </si>
  <si>
    <t xml:space="preserve">khaarendiwe@MyVM:~/EEE4120F_PRAC3$ </t>
  </si>
  <si>
    <t>Routes com</t>
  </si>
  <si>
    <t>Subtrees prunes</t>
  </si>
  <si>
    <t>Init_Time</t>
  </si>
  <si>
    <t>Comp_Time</t>
  </si>
  <si>
    <t>total</t>
  </si>
  <si>
    <t>cores</t>
  </si>
  <si>
    <t>Comp speedup</t>
  </si>
  <si>
    <t>total speedup</t>
  </si>
  <si>
    <t>khaarendiwe@MyVM:~/EEE4120F_PRAC3$ for i in {1..10}; do mpirun --mca btl self,sm -np 1 ./mpi_ -i input.txt; done</t>
  </si>
  <si>
    <t>=== Wariara Freights Inc. – Optimal Route ===</t>
  </si>
  <si>
    <t>Theoretical max : 362880 (= (10-1)! = 9!)</t>
  </si>
  <si>
    <t>Processes       : 1</t>
  </si>
  <si>
    <t>Total           : 0.045181 s</t>
  </si>
  <si>
    <t>Total           : 0.015679 s</t>
  </si>
  <si>
    <t>Total           : 0.042730 s</t>
  </si>
  <si>
    <t>Total           : 0.044307 s</t>
  </si>
  <si>
    <t>Total           : 0.019276 s</t>
  </si>
  <si>
    <t>Total           : 0.037873 s</t>
  </si>
  <si>
    <t>Total           : 0.016278 s</t>
  </si>
  <si>
    <t>Total           : 0.021524 s</t>
  </si>
  <si>
    <t>Total           : 0.034713 s</t>
  </si>
  <si>
    <t>Total           : 0.028000 s</t>
  </si>
  <si>
    <t>Total           : 0.018330 s</t>
  </si>
  <si>
    <t>Total           : 0.016384 s</t>
  </si>
  <si>
    <t>Total           : 0.016275 s</t>
  </si>
  <si>
    <t>Total           : 0.016508 s</t>
  </si>
  <si>
    <t>Total           : 0.016386 s</t>
  </si>
  <si>
    <t>Total           : 0.024049 s</t>
  </si>
  <si>
    <t>Total           : 0.017878 s</t>
  </si>
  <si>
    <t>Total           : 0.014267 s</t>
  </si>
  <si>
    <t>Total           : 0.017750 s</t>
  </si>
  <si>
    <t>Total           : 0.018054 s</t>
  </si>
  <si>
    <t>khaarendiwe@MyVM:~/EEE4120F_PRAC3$ for i in {1..10}; do mpirun --mca btl self,sm -np 2 ./mpi_ -i input.txt; done</t>
  </si>
  <si>
    <t>Total nodes hit : 111515</t>
  </si>
  <si>
    <t>Pruning rate    : 99.96%</t>
  </si>
  <si>
    <t>Processes       : 2</t>
  </si>
  <si>
    <t>Total           : 0.016909 s</t>
  </si>
  <si>
    <t>Total           : 0.020725 s</t>
  </si>
  <si>
    <t>Total           : 0.019950 s</t>
  </si>
  <si>
    <t>Total           : 0.018042 s</t>
  </si>
  <si>
    <t>Total           : 0.020531 s</t>
  </si>
  <si>
    <t>Total           : 0.017911 s</t>
  </si>
  <si>
    <t>Total           : 0.017585 s</t>
  </si>
  <si>
    <t>Total           : 0.019266 s</t>
  </si>
  <si>
    <t>Total           : 0.017176 s</t>
  </si>
  <si>
    <t>Total           : 0.017423 s</t>
  </si>
  <si>
    <t>khaarendiwe@MyVM:~/EEE4120F_PRAC3$ for i in {1..10}; do mpirun --mca btl self,sm -np 3 ./mpi_ -i input.txt; done</t>
  </si>
  <si>
    <t>Total nodes hit : 128592</t>
  </si>
  <si>
    <t>Processes       : 3</t>
  </si>
  <si>
    <t>Total           : 0.023825 s</t>
  </si>
  <si>
    <t>Total           : 0.019736 s</t>
  </si>
  <si>
    <t>Total           : 0.026234 s</t>
  </si>
  <si>
    <t>Total           : 0.022366 s</t>
  </si>
  <si>
    <t>Total           : 0.021582 s</t>
  </si>
  <si>
    <t>Total           : 0.018388 s</t>
  </si>
  <si>
    <t>khaarendiwe@MyVM:~/EEE4120F_PRAC3$ for i in {1..10}; do mpirun --mca btl self,sm -np 4 ./mpi_ -i input.txt; done</t>
  </si>
  <si>
    <t>Total nodes hit : 127805</t>
  </si>
  <si>
    <t>Pruning rate    : 99.95%</t>
  </si>
  <si>
    <t>Processes       : 4</t>
  </si>
  <si>
    <t>Total           : 0.029268 s</t>
  </si>
  <si>
    <t>Total           : 0.038581 s</t>
  </si>
  <si>
    <t>Total           : 0.026933 s</t>
  </si>
  <si>
    <t>Total           : 0.025965 s</t>
  </si>
  <si>
    <t>Total           : 0.028933 s</t>
  </si>
  <si>
    <t>Total           : 0.036584 s</t>
  </si>
  <si>
    <t>Total           : 0.028549 s</t>
  </si>
  <si>
    <t>Total           : 0.024410 s</t>
  </si>
  <si>
    <t>Total           : 0.858942 s</t>
  </si>
  <si>
    <t>Total           : 0.001489</t>
  </si>
  <si>
    <t>Total           : 0.002277</t>
  </si>
  <si>
    <t>Total           : 0.064165</t>
  </si>
  <si>
    <t>Total           : 0.001622</t>
  </si>
  <si>
    <t>Total           : 0.024221</t>
  </si>
  <si>
    <t>Total           : 0.002815</t>
  </si>
  <si>
    <t>Total           : 0.022712</t>
  </si>
  <si>
    <t>Total           : 0.007614</t>
  </si>
  <si>
    <t>Total           : 0.023526</t>
  </si>
  <si>
    <t>Total           : 0.002762</t>
  </si>
  <si>
    <t>Total           : 0.024008</t>
  </si>
  <si>
    <t>opemp</t>
  </si>
  <si>
    <t>mpi</t>
  </si>
  <si>
    <t>serial</t>
  </si>
  <si>
    <t>initial</t>
  </si>
  <si>
    <t>computation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</si>
</sst>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Computational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OpenMP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Sheet1!$N$8:$N$15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Sheet1!$T$8:$T$15</c:f>
              <c:numCache>
                <c:formatCode>General</c:formatCode>
                <c:ptCount val="8"/>
                <c:pt idx="0">
                  <c:v>1.0380839657453176</c:v>
                </c:pt>
                <c:pt idx="1">
                  <c:v>0.69878614613113377</c:v>
                </c:pt>
                <c:pt idx="2">
                  <c:v>0.59147889558870193</c:v>
                </c:pt>
                <c:pt idx="3">
                  <c:v>0.23822838608656746</c:v>
                </c:pt>
                <c:pt idx="4">
                  <c:v>0.6391734899472713</c:v>
                </c:pt>
                <c:pt idx="5">
                  <c:v>0.46386460504619981</c:v>
                </c:pt>
                <c:pt idx="6">
                  <c:v>0.4327760362243121</c:v>
                </c:pt>
                <c:pt idx="7">
                  <c:v>0.43634767339771718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06-4C44-8561-E6FE234DDC8E}"/>
            </c:ext>
          </c:extLst>
        </c:ser>
        <c:ser>
          <c:idx val="1"/>
          <c:order val="1"/>
          <c:tx>
            <c:v>MPI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Sheet1!$N$18:$N$21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Sheet1!$T$18:$T$21</c:f>
              <c:numCache>
                <c:formatCode>General</c:formatCode>
                <c:ptCount val="4"/>
                <c:pt idx="0">
                  <c:v>0.95915085236410413</c:v>
                </c:pt>
                <c:pt idx="1">
                  <c:v>1.1598599766627771</c:v>
                </c:pt>
                <c:pt idx="2">
                  <c:v>1.8149726110772977</c:v>
                </c:pt>
                <c:pt idx="3">
                  <c:v>1.2870090634441089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06-4C44-8561-E6FE234DDC8E}"/>
            </c:ext>
          </c:extLst>
        </c:ser>
        <c:ser>
          <c:idx val="2"/>
          <c:order val="2"/>
          <c:tx>
            <c:v>Perfect linear</c:v>
          </c:tx>
          <c:spPr>
            <a:ln w="19050" cap="rnd">
              <a:solidFill>
                <a:sysClr val="windowText" lastClr="000000">
                  <a:alpha val="47000"/>
                </a:sys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Sheet1!$N$25:$N$32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Sheet1!$O$25:$O$32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006-4C44-8561-E6FE234DD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817840"/>
        <c:axId val="1377816400"/>
      </c:scatterChart>
      <c:valAx>
        <c:axId val="137781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 of processors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16400"/>
        <c:crosses val="autoZero"/>
        <c:crossBetween val="midCat"/>
      </c:valAx>
      <c:valAx>
        <c:axId val="13778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 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17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openMP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Sheet1!$N$8:$N$15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Sheet1!$U$8:$U$15</c:f>
              <c:numCache>
                <c:formatCode>General</c:formatCode>
                <c:ptCount val="8"/>
                <c:pt idx="0">
                  <c:v>1.0431925525361077</c:v>
                </c:pt>
                <c:pt idx="1">
                  <c:v>0.70324396659129729</c:v>
                </c:pt>
                <c:pt idx="2">
                  <c:v>0.59929217459693274</c:v>
                </c:pt>
                <c:pt idx="3">
                  <c:v>0.24257859132510939</c:v>
                </c:pt>
                <c:pt idx="4">
                  <c:v>0.64746367575834818</c:v>
                </c:pt>
                <c:pt idx="5">
                  <c:v>0.47029779355037804</c:v>
                </c:pt>
                <c:pt idx="6">
                  <c:v>0.43949705848425424</c:v>
                </c:pt>
                <c:pt idx="7">
                  <c:v>0.4429717474712242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51-48FC-8F33-1EF7ECC1832B}"/>
            </c:ext>
          </c:extLst>
        </c:ser>
        <c:ser>
          <c:idx val="1"/>
          <c:order val="1"/>
          <c:tx>
            <c:v>MPI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Sheet1!$N$18:$N$21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Sheet1!$U$18:$U$21</c:f>
              <c:numCache>
                <c:formatCode>General</c:formatCode>
                <c:ptCount val="4"/>
                <c:pt idx="0">
                  <c:v>4.1217874601918905E-2</c:v>
                </c:pt>
                <c:pt idx="1">
                  <c:v>9.0313787075172597E-2</c:v>
                </c:pt>
                <c:pt idx="2">
                  <c:v>8.0608264462809928E-2</c:v>
                </c:pt>
                <c:pt idx="3">
                  <c:v>6.6144397908031519E-2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51-48FC-8F33-1EF7ECC1832B}"/>
            </c:ext>
          </c:extLst>
        </c:ser>
        <c:ser>
          <c:idx val="2"/>
          <c:order val="2"/>
          <c:tx>
            <c:v>Perfect linear</c:v>
          </c:tx>
          <c:spPr>
            <a:ln w="19050" cap="rnd">
              <a:solidFill>
                <a:sysClr val="windowText" lastClr="000000">
                  <a:alpha val="48000"/>
                </a:sys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Sheet1!$N$25:$N$32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Sheet1!$O$25:$O$32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51-48FC-8F33-1EF7ECC18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745184"/>
        <c:axId val="1471745664"/>
      </c:scatterChart>
      <c:valAx>
        <c:axId val="147174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 of processors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745664"/>
        <c:crosses val="autoZero"/>
        <c:crossBetween val="midCat"/>
      </c:valAx>
      <c:valAx>
        <c:axId val="147174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745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246289</xdr:colOff>
      <xdr:row>23</xdr:row>
      <xdr:rowOff>101600</xdr:rowOff>
    </xdr:from>
    <xdr:to>
      <xdr:col>20</xdr:col>
      <xdr:colOff>238124</xdr:colOff>
      <xdr:row>38</xdr:row>
      <xdr:rowOff>82549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BD6196-7DEC-26B7-D999-3037F6972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630464</xdr:colOff>
      <xdr:row>40</xdr:row>
      <xdr:rowOff>39007</xdr:rowOff>
    </xdr:from>
    <xdr:to>
      <xdr:col>18</xdr:col>
      <xdr:colOff>476250</xdr:colOff>
      <xdr:row>55</xdr:row>
      <xdr:rowOff>60779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35AD58-E96F-7EBB-C783-F4F1568F8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E311-6549-4F2D-B5DA-EA97DEE2D316}">
  <dimension ref="F2:X1453"/>
  <sheetViews>
    <sheetView tabSelected="1" topLeftCell="J1" zoomScale="70" zoomScaleNormal="70" workbookViewId="0">
      <selection activeCell="Q18" sqref="Q18"/>
    </sheetView>
  </sheetViews>
  <sheetFormatPr defaultRowHeight="14.5" x14ac:dyDescent="0.35"/>
  <cols>
    <col min="15" max="15" width="16.36328125" customWidth="1"/>
    <col min="16" max="16" width="16.08984375" customWidth="1"/>
    <col min="17" max="17" width="18" customWidth="1"/>
    <col min="18" max="18" width="17.08984375" customWidth="1"/>
    <col min="19" max="19" width="13.36328125" customWidth="1"/>
    <col min="20" max="20" width="17" customWidth="1"/>
    <col min="21" max="21" width="17.26953125" customWidth="1"/>
  </cols>
  <sheetData>
    <row r="2" spans="6:24" x14ac:dyDescent="0.35">
      <c r="T2" t="s">
        <v>250</v>
      </c>
    </row>
    <row r="3" spans="6:24" x14ac:dyDescent="0.35">
      <c r="T3" t="s">
        <v>251</v>
      </c>
      <c r="U3">
        <v>3.3000000000000003E-5</v>
      </c>
    </row>
    <row r="4" spans="6:24" x14ac:dyDescent="0.35">
      <c r="T4" t="s">
        <v>252</v>
      </c>
      <c r="U4">
        <v>1.4909999999999999E-3</v>
      </c>
    </row>
    <row r="5" spans="6:24" x14ac:dyDescent="0.35">
      <c r="F5" t="s">
        <v>0</v>
      </c>
      <c r="T5" t="s">
        <v>173</v>
      </c>
      <c r="U5">
        <f>U3+U4</f>
        <v>1.524E-3</v>
      </c>
      <c r="X5" t="s">
        <v>177</v>
      </c>
    </row>
    <row r="6" spans="6:24" x14ac:dyDescent="0.35">
      <c r="Q6" t="s">
        <v>248</v>
      </c>
    </row>
    <row r="7" spans="6:24" x14ac:dyDescent="0.35">
      <c r="F7" t="s">
        <v>1</v>
      </c>
      <c r="N7" t="s">
        <v>174</v>
      </c>
      <c r="O7" t="s">
        <v>169</v>
      </c>
      <c r="P7" t="s">
        <v>170</v>
      </c>
      <c r="Q7" t="s">
        <v>171</v>
      </c>
      <c r="R7" t="s">
        <v>172</v>
      </c>
      <c r="S7" t="s">
        <v>173</v>
      </c>
      <c r="T7" t="s">
        <v>175</v>
      </c>
      <c r="U7" t="s">
        <v>176</v>
      </c>
      <c r="X7" t="s">
        <v>178</v>
      </c>
    </row>
    <row r="8" spans="6:24" x14ac:dyDescent="0.35">
      <c r="F8" t="s">
        <v>2</v>
      </c>
      <c r="N8">
        <v>1</v>
      </c>
      <c r="O8">
        <f ca="1">SUM(F15,OFFSET(F15,18,0),OFFSET(F15,36,0),OFFSET(F15,54,0),OFFSET(F15,72,0),OFFSET(F15,90,0),OFFSET(F15,108,0),OFFSET(F15,126,0),OFFSET(F15,144,0),OFFSET(F15,162,0))/10</f>
        <v>24</v>
      </c>
      <c r="P8">
        <f ca="1">SUM(F16, OFFSET(F16,18,0), OFFSET(F16,36,0), OFFSET(F16,54,0), OFFSET(F16,72,0), OFFSET(F16,90,0), OFFSET(F16,108,0), OFFSET(F16,126,0), OFFSET(F16,144,0), OFFSET(F16,162,0))/10</f>
        <v>94200</v>
      </c>
      <c r="Q8">
        <f ca="1">SUM(F21, OFFSET(F21,18,0), OFFSET(F21,36,0), OFFSET(F21,54,0), OFFSET(F21,72,0), OFFSET(F21,90,0), OFFSET(F21,108,0), OFFSET(F21,126,0), OFFSET(F21,144,0), OFFSET(F21,162,0))/10</f>
        <v>2.4600000000000002E-5</v>
      </c>
      <c r="R8">
        <f ca="1">SUM(F22, OFFSET(F22,18,0), OFFSET(F22,36,0), OFFSET(F22,54,0), OFFSET(F22,72,0), OFFSET(F22,90,0), OFFSET(F22,108,0), OFFSET(F22,126,0), OFFSET(F22,144,0), OFFSET(F22,162,0))/10</f>
        <v>1.4363000000000002E-3</v>
      </c>
      <c r="S8">
        <f ca="1">Q8+R8</f>
        <v>1.4609000000000002E-3</v>
      </c>
      <c r="T8">
        <f ca="1">U4/R8</f>
        <v>1.0380839657453176</v>
      </c>
      <c r="U8">
        <f ca="1">U5/S8</f>
        <v>1.0431925525361077</v>
      </c>
      <c r="X8" t="s">
        <v>2</v>
      </c>
    </row>
    <row r="9" spans="6:24" x14ac:dyDescent="0.35">
      <c r="F9" t="s">
        <v>3</v>
      </c>
      <c r="N9">
        <v>2</v>
      </c>
      <c r="O9">
        <f ca="1">SUM(F196, OFFSET(F196,18,0), OFFSET(F196,36,0), OFFSET(F196,54,0), OFFSET(F196,72,0), OFFSET(F196,90,0), OFFSET(F196,108,0), OFFSET(F196,126,0), OFFSET(F196,144,0), OFFSET(F196,162,0))/10</f>
        <v>24.8</v>
      </c>
      <c r="P9">
        <f ca="1">SUM(F197, OFFSET(F197,18,0), OFFSET(F197,36,0), OFFSET(F197,54,0), OFFSET(F197,72,0), OFFSET(F197,90,0), OFFSET(F197,108,0), OFFSET(F197,126,0), OFFSET(F197,144,0), OFFSET(F197,162,0))/10</f>
        <v>95289</v>
      </c>
      <c r="Q9">
        <f ca="1">SUM(F202, OFFSET(F202,18,0), OFFSET(F202,36,0), OFFSET(F202,54,0), OFFSET(F202,72,0), OFFSET(F202,90,0), OFFSET(F202,108,0), OFFSET(F202,126,0), OFFSET(F202,144,0), OFFSET(F202,162,0))/10</f>
        <v>3.3400000000000005E-5</v>
      </c>
      <c r="R9">
        <f ca="1">SUM(F203, OFFSET(F203,18,0), OFFSET(F203,36,0), OFFSET(F203,54,0), OFFSET(F203,72,0), OFFSET(F203,90,0), OFFSET(F203,108,0), OFFSET(F203,126,0), OFFSET(F203,144,0), OFFSET(F203,162,0))/10</f>
        <v>2.1336999999999997E-3</v>
      </c>
      <c r="S9">
        <f t="shared" ref="S9:S21" ca="1" si="0">Q9+R9</f>
        <v>2.1670999999999995E-3</v>
      </c>
      <c r="T9">
        <f ca="1">U4/R9</f>
        <v>0.69878614613113377</v>
      </c>
      <c r="U9">
        <f ca="1">U5/S9</f>
        <v>0.70324396659129729</v>
      </c>
      <c r="X9" t="s">
        <v>4</v>
      </c>
    </row>
    <row r="10" spans="6:24" x14ac:dyDescent="0.35">
      <c r="F10" t="s">
        <v>4</v>
      </c>
      <c r="N10">
        <v>3</v>
      </c>
      <c r="O10">
        <f ca="1">SUM(F377, OFFSET(F377,18,0), OFFSET(F377,36,0), OFFSET(F377,54,0), OFFSET(F377,72,0), OFFSET(F377,90,0), OFFSET(F377,108,0), OFFSET(F377,126,0), OFFSET(F377,144,0), OFFSET(F377,162,0))/10</f>
        <v>25.6</v>
      </c>
      <c r="P10">
        <f ca="1">SUM(F378, OFFSET(F378,18,0), OFFSET(F378,36,0), OFFSET(F378,54,0), OFFSET(F378,72,0), OFFSET(F378,90,0), OFFSET(F378,108,0), OFFSET(F378,126,0), OFFSET(F378,144,0), OFFSET(F378,162,0))/10</f>
        <v>93910.8</v>
      </c>
      <c r="Q10">
        <f ca="1">SUM(F383, OFFSET(F383,18,0), OFFSET(F383,36,0), OFFSET(F383,54,0), OFFSET(F383,72,0), OFFSET(F383,90,0), OFFSET(F383,108,0), OFFSET(F383,126,0), OFFSET(F383,144,0), OFFSET(F383,162,0))/10</f>
        <v>2.2200000000000001E-5</v>
      </c>
      <c r="R10">
        <f ca="1">SUM(F384, OFFSET(F384,18,0), OFFSET(F384,36,0), OFFSET(F384,54,0), OFFSET(F384,72,0), OFFSET(F384,90,0), OFFSET(F384,108,0), OFFSET(F384,126,0), OFFSET(F384,144,0), OFFSET(F384,162,0))/10</f>
        <v>2.5208000000000001E-3</v>
      </c>
      <c r="S10">
        <f t="shared" ca="1" si="0"/>
        <v>2.5430000000000001E-3</v>
      </c>
      <c r="T10">
        <f ca="1">U4/R10</f>
        <v>0.59147889558870193</v>
      </c>
      <c r="U10">
        <f ca="1">U5/S10</f>
        <v>0.59929217459693274</v>
      </c>
      <c r="X10" t="s">
        <v>5</v>
      </c>
    </row>
    <row r="11" spans="6:24" x14ac:dyDescent="0.35">
      <c r="F11" t="s">
        <v>5</v>
      </c>
      <c r="N11">
        <v>4</v>
      </c>
      <c r="O11">
        <f ca="1">SUM(F558, OFFSET(F558,18,0), OFFSET(F558,36,0), OFFSET(F558,54,0), OFFSET(F558,72,0), OFFSET(F558,90,0), OFFSET(F558,108,0), OFFSET(F558,126,0), OFFSET(F558,144,0), OFFSET(F558,162,0))/10</f>
        <v>25.1</v>
      </c>
      <c r="P11">
        <f ca="1">SUM(F559, OFFSET(F559,18,0), OFFSET(F559,36,0), OFFSET(F559,54,0), OFFSET(F559,72,0), OFFSET(F559,90,0), OFFSET(F559,108,0), OFFSET(F559,126,0), OFFSET(F559,144,0), OFFSET(F559,162,0))/10</f>
        <v>94336</v>
      </c>
      <c r="Q11">
        <f ca="1">SUM(F564, OFFSET(F564,18,0), OFFSET(F564,36,0), OFFSET(F564,54,0), OFFSET(F564,72,0), OFFSET(F564,90,0), OFFSET(F564,108,0), OFFSET(F564,126,0), OFFSET(F564,144,0), OFFSET(F564,162,0))/10</f>
        <v>2.3800000000000003E-5</v>
      </c>
      <c r="R11">
        <f ca="1">SUM(F565, OFFSET(F565,18,0), OFFSET(F565,36,0), OFFSET(F565,54,0), OFFSET(F565,72,0), OFFSET(F565,90,0), OFFSET(F565,108,0), OFFSET(F565,126,0), OFFSET(F565,144,0), OFFSET(F565,162,0))/10</f>
        <v>6.2587000000000007E-3</v>
      </c>
      <c r="S11">
        <f t="shared" ca="1" si="0"/>
        <v>6.2825000000000008E-3</v>
      </c>
      <c r="T11">
        <f ca="1">U4/R11</f>
        <v>0.23822838608656746</v>
      </c>
      <c r="U11">
        <f ca="1">U5/S11</f>
        <v>0.24257859132510939</v>
      </c>
    </row>
    <row r="12" spans="6:24" x14ac:dyDescent="0.35">
      <c r="N12">
        <v>5</v>
      </c>
      <c r="O12">
        <f ca="1">SUM(F739, OFFSET(F739,18,0), OFFSET(F739,36,0), OFFSET(F739,54,0), OFFSET(F739,72,0), OFFSET(F739,90,0), OFFSET(F739,108,0), OFFSET(F739,126,0), OFFSET(F739,144,0), OFFSET(F739,162,0))/10</f>
        <v>25</v>
      </c>
      <c r="P12">
        <f ca="1">SUM(F740, OFFSET(F740,18,0), OFFSET(F740,36,0), OFFSET(F740,54,0), OFFSET(F740,72,0), OFFSET(F740,90,0), OFFSET(F740,108,0), OFFSET(F740,126,0), OFFSET(F740,144,0), OFFSET(F740,162,0))/10</f>
        <v>97110.399999999994</v>
      </c>
      <c r="Q12">
        <f ca="1">SUM(F745, OFFSET(F745,18,0), OFFSET(F745,36,0), OFFSET(F745,54,0), OFFSET(F745,72,0), OFFSET(F745,90,0), OFFSET(F745,108,0), OFFSET(F745,126,0), OFFSET(F745,144,0), OFFSET(F745,162,0))/10</f>
        <v>2.1100000000000005E-5</v>
      </c>
      <c r="R12">
        <f ca="1">SUM(F746, OFFSET(F746,18,0), OFFSET(F746,36,0), OFFSET(F746,54,0), OFFSET(F746,72,0), OFFSET(F746,90,0), OFFSET(F746,108,0), OFFSET(F746,126,0), OFFSET(F746,144,0), OFFSET(F746,162,0))/10</f>
        <v>2.3327000000000001E-3</v>
      </c>
      <c r="S12">
        <f t="shared" ca="1" si="0"/>
        <v>2.3538000000000001E-3</v>
      </c>
      <c r="T12">
        <f ca="1">U4/R12</f>
        <v>0.6391734899472713</v>
      </c>
      <c r="U12">
        <f ca="1">U5/S12</f>
        <v>0.64746367575834818</v>
      </c>
      <c r="X12" t="s">
        <v>6</v>
      </c>
    </row>
    <row r="13" spans="6:24" x14ac:dyDescent="0.35">
      <c r="F13" t="s">
        <v>6</v>
      </c>
      <c r="N13">
        <v>6</v>
      </c>
      <c r="O13">
        <f ca="1">SUM(F920, OFFSET(F920,18,0), OFFSET(F920,36,0), OFFSET(F920,54,0), OFFSET(F920,72,0), OFFSET(F920,90,0), OFFSET(F920,108,0), OFFSET(F920,126,0), OFFSET(F920,144,0), OFFSET(F920,162,0))/10</f>
        <v>24.4</v>
      </c>
      <c r="P13">
        <f ca="1">SUM(F921, OFFSET(F921,18,0), OFFSET(F921,36,0), OFFSET(F921,54,0), OFFSET(F921,72,0), OFFSET(F921,90,0), OFFSET(F921,108,0), OFFSET(F921,126,0), OFFSET(F921,144,0), OFFSET(F921,162,0))/10</f>
        <v>96386.5</v>
      </c>
      <c r="Q13">
        <f ca="1">SUM(F926, OFFSET(F926,18,0), OFFSET(F926,36,0), OFFSET(F926,54,0), OFFSET(F926,72,0), OFFSET(F926,90,0), OFFSET(F926,108,0), OFFSET(F926,126,0), OFFSET(F926,144,0), OFFSET(F926,162,0))/10</f>
        <v>2.6200000000000003E-5</v>
      </c>
      <c r="R13">
        <f ca="1">SUM(F927, OFFSET(F927,18,0), OFFSET(F927,36,0), OFFSET(F927,54,0), OFFSET(F927,72,0), OFFSET(F927,90,0), OFFSET(F927,108,0), OFFSET(F927,126,0), OFFSET(F927,144,0), OFFSET(F927,162,0))/10</f>
        <v>3.2142999999999998E-3</v>
      </c>
      <c r="S13">
        <f t="shared" ca="1" si="0"/>
        <v>3.2404999999999999E-3</v>
      </c>
      <c r="T13">
        <f ca="1">U4/R13</f>
        <v>0.46386460504619981</v>
      </c>
      <c r="U13">
        <f ca="1">U5/S13</f>
        <v>0.47029779355037804</v>
      </c>
      <c r="X13" t="s">
        <v>179</v>
      </c>
    </row>
    <row r="14" spans="6:24" x14ac:dyDescent="0.35">
      <c r="F14" t="s">
        <v>7</v>
      </c>
      <c r="N14">
        <v>7</v>
      </c>
      <c r="O14">
        <f ca="1">SUM(F1101, OFFSET(F1101,18,0), OFFSET(F1101,36,0), OFFSET(F1101,54,0), OFFSET(F1101,72,0), OFFSET(F1101,90,0), OFFSET(F1101,108,0), OFFSET(F1101,126,0), OFFSET(F1101,144,0), OFFSET(F1101,162,0))/10</f>
        <v>24.3</v>
      </c>
      <c r="P14">
        <f ca="1">SUM(F1102, OFFSET(F1102,18,0), OFFSET(F1102,36,0), OFFSET(F1102,54,0), OFFSET(F1102,72,0), OFFSET(F1102,90,0), OFFSET(F1102,108,0), OFFSET(F1102,126,0), OFFSET(F1102,144,0), OFFSET(F1102,162,0))/10</f>
        <v>100197.1</v>
      </c>
      <c r="Q14">
        <f ca="1">SUM(F1107, OFFSET(F1107,18,0), OFFSET(F1107,36,0), OFFSET(F1107,54,0), OFFSET(F1107,72,0), OFFSET(F1107,90,0), OFFSET(F1107,108,0), OFFSET(F1107,126,0), OFFSET(F1107,144,0), OFFSET(F1107,162,0))/10</f>
        <v>2.2399999999999999E-5</v>
      </c>
      <c r="R14">
        <f ca="1">SUM(F1108, OFFSET(F1108,18,0), OFFSET(F1108,36,0), OFFSET(F1108,54,0), OFFSET(F1108,72,0), OFFSET(F1108,90,0), OFFSET(F1108,108,0), OFFSET(F1108,126,0), OFFSET(F1108,144,0), OFFSET(F1108,162,0))/10</f>
        <v>3.4451999999999998E-3</v>
      </c>
      <c r="S14">
        <f t="shared" ca="1" si="0"/>
        <v>3.4675999999999999E-3</v>
      </c>
      <c r="T14">
        <f ca="1">U4/R14</f>
        <v>0.4327760362243121</v>
      </c>
      <c r="U14">
        <f ca="1">U5/S14</f>
        <v>0.43949705848425424</v>
      </c>
      <c r="X14">
        <v>24</v>
      </c>
    </row>
    <row r="15" spans="6:24" x14ac:dyDescent="0.35">
      <c r="F15">
        <v>24</v>
      </c>
      <c r="N15">
        <v>8</v>
      </c>
      <c r="O15">
        <f ca="1">SUM(F1282, OFFSET(F1282,18,0), OFFSET(F1282,36,0), OFFSET(F1282,54,0), OFFSET(F1282,72,0), OFFSET(F1282,90,0), OFFSET(F1282,108,0), OFFSET(F1282,126,0), OFFSET(F1282,144,0), OFFSET(F1282,162,0))/10</f>
        <v>24.9</v>
      </c>
      <c r="P15">
        <f ca="1">SUM(F1283, OFFSET(F1283,18,0), OFFSET(F1283,36,0), OFFSET(F1283,54,0), OFFSET(F1283,72,0), OFFSET(F1283,90,0), OFFSET(F1283,108,0), OFFSET(F1283,126,0), OFFSET(F1283,144,0), OFFSET(F1283,162,0))/10</f>
        <v>93838.2</v>
      </c>
      <c r="Q15">
        <f ca="1">SUM(F1288, OFFSET(F1288,18,0), OFFSET(F1288,36,0), OFFSET(F1288,54,0), OFFSET(F1288,72,0), OFFSET(F1288,90,0), OFFSET(F1288,108,0), OFFSET(F1288,126,0), OFFSET(F1288,144,0), OFFSET(F1288,162,0))/10</f>
        <v>2.3399999999999996E-5</v>
      </c>
      <c r="R15">
        <f ca="1">SUM(F1289, OFFSET(F1289,18,0), OFFSET(F1289,36,0), OFFSET(F1289,54,0), OFFSET(F1289,72,0), OFFSET(F1289,90,0), OFFSET(F1289,108,0), OFFSET(F1289,126,0), OFFSET(F1289,144,0), OFFSET(F1289,162,0))/10</f>
        <v>3.4170000000000008E-3</v>
      </c>
      <c r="S15">
        <f t="shared" ca="1" si="0"/>
        <v>3.4404000000000006E-3</v>
      </c>
      <c r="T15">
        <f ca="1">U4/R15</f>
        <v>0.43634767339771718</v>
      </c>
      <c r="U15">
        <f ca="1">U5/S15</f>
        <v>0.4429717474712242</v>
      </c>
      <c r="X15">
        <v>94200</v>
      </c>
    </row>
    <row r="16" spans="6:24" x14ac:dyDescent="0.35">
      <c r="F16">
        <v>94200</v>
      </c>
      <c r="X16" t="s">
        <v>8</v>
      </c>
    </row>
    <row r="17" spans="6:24" x14ac:dyDescent="0.35">
      <c r="F17" t="s">
        <v>8</v>
      </c>
      <c r="Q17" t="s">
        <v>249</v>
      </c>
      <c r="X17" t="s">
        <v>9</v>
      </c>
    </row>
    <row r="18" spans="6:24" x14ac:dyDescent="0.35">
      <c r="F18" t="s">
        <v>9</v>
      </c>
      <c r="N18">
        <v>1</v>
      </c>
      <c r="O18">
        <f ca="1">SUM(X14,OFFSET(X14,18,0),OFFSET(X14,36,0),OFFSET(X14,54,0),OFFSET(X14,72,0),OFFSET(X14,90,0),OFFSET(X14,108,0),OFFSET(X14,126,0),OFFSET(X14,144,0),OFFSET(X14,162,0))/10</f>
        <v>24</v>
      </c>
      <c r="P18">
        <f ca="1">SUM(X15, OFFSET(X15,18,0), OFFSET(X15,36,0), OFFSET(X15,54,0))/4</f>
        <v>94200</v>
      </c>
      <c r="Q18">
        <f ca="1">SUM(X21, OFFSET(X21,18,0), OFFSET(X21,36,0), OFFSET(X21,54,0))/4</f>
        <v>3.541975E-2</v>
      </c>
      <c r="R18">
        <f ca="1">SUM(X22, OFFSET(X22,18,0), OFFSET(X22,36,0), OFFSET(X22,54,0))/4</f>
        <v>1.5545000000000001E-3</v>
      </c>
      <c r="S18">
        <f ca="1">Q18+R18</f>
        <v>3.697425E-2</v>
      </c>
      <c r="T18">
        <f ca="1">U4/R18</f>
        <v>0.95915085236410413</v>
      </c>
      <c r="U18">
        <f ca="1">U5/S18</f>
        <v>4.1217874601918905E-2</v>
      </c>
    </row>
    <row r="19" spans="6:24" x14ac:dyDescent="0.35">
      <c r="N19">
        <v>2</v>
      </c>
      <c r="O19">
        <f ca="1">SUM(X195, OFFSET(X195,18,0), OFFSET(X195,36,0), OFFSET(X195,54,0))/4</f>
        <v>24</v>
      </c>
      <c r="P19">
        <f ca="1">SUM(X196, OFFSET(X196,18,0), OFFSET(X196,36,0), OFFSET(X196,54,0))/4</f>
        <v>94200</v>
      </c>
      <c r="Q19">
        <f ca="1">SUM(X202, OFFSET(X202,18,0), OFFSET(X202,36,0), OFFSET(X202,54,0))/4</f>
        <v>1.5589000000000002E-2</v>
      </c>
      <c r="R19">
        <f ca="1">SUM(X203, OFFSET(X203,18,0), OFFSET(X203,36,0), OFFSET(X203,54,0))/4</f>
        <v>1.2855E-3</v>
      </c>
      <c r="S19">
        <f t="shared" ref="S19:S21" ca="1" si="1">Q19+R19</f>
        <v>1.6874500000000001E-2</v>
      </c>
      <c r="T19">
        <f ca="1">U4/R19</f>
        <v>1.1598599766627771</v>
      </c>
      <c r="U19">
        <f ca="1">U5/S19</f>
        <v>9.0313787075172597E-2</v>
      </c>
      <c r="X19" t="s">
        <v>10</v>
      </c>
    </row>
    <row r="20" spans="6:24" x14ac:dyDescent="0.35">
      <c r="F20" t="s">
        <v>10</v>
      </c>
      <c r="N20">
        <v>3</v>
      </c>
      <c r="O20">
        <f ca="1">SUM(X376, OFFSET(X376,18,0), OFFSET(X376,36,0), OFFSET(X376,54,0))/4</f>
        <v>40</v>
      </c>
      <c r="P20">
        <f ca="1">SUM(X377, OFFSET(X377,18,0), OFFSET(X377,36,0), OFFSET(X377,54,0))/4</f>
        <v>111475</v>
      </c>
      <c r="Q20">
        <f ca="1">SUM(X383, OFFSET(X383,18,0), OFFSET(X383,36,0), OFFSET(X383,54,0))/4</f>
        <v>1.8084749999999997E-2</v>
      </c>
      <c r="R20">
        <f ca="1">SUM(X384, OFFSET(X384,18,0), OFFSET(X384,36,0), OFFSET(X384,54,0))/4</f>
        <v>8.2149999999999996E-4</v>
      </c>
      <c r="S20">
        <f t="shared" ca="1" si="1"/>
        <v>1.8906249999999996E-2</v>
      </c>
      <c r="T20">
        <f ca="1">U4/R20</f>
        <v>1.8149726110772977</v>
      </c>
      <c r="U20">
        <f ca="1">U5/S20</f>
        <v>8.0608264462809928E-2</v>
      </c>
      <c r="X20" t="s">
        <v>180</v>
      </c>
    </row>
    <row r="21" spans="6:24" x14ac:dyDescent="0.35">
      <c r="F21">
        <v>4.8000000000000001E-5</v>
      </c>
      <c r="N21">
        <v>4</v>
      </c>
      <c r="O21">
        <f ca="1">SUM(X557, OFFSET(X557,18,0), OFFSET(X557,36,0), OFFSET(X557,54,0))/4</f>
        <v>50</v>
      </c>
      <c r="P21">
        <f ca="1">SUM(X558, OFFSET(X558,18,0), OFFSET(X558,36,0), OFFSET(X558,54,0))/4</f>
        <v>128542</v>
      </c>
      <c r="Q21">
        <f ca="1">SUM(X564, OFFSET(X564,18,0), OFFSET(X564,36,0), OFFSET(X564,54,0))/4</f>
        <v>2.1881999999999999E-2</v>
      </c>
      <c r="R21">
        <f ca="1">SUM(X565, OFFSET(X565,18,0), OFFSET(X565,36,0), OFFSET(X565,54,0))/4</f>
        <v>1.1584999999999998E-3</v>
      </c>
      <c r="S21">
        <f t="shared" ca="1" si="1"/>
        <v>2.3040499999999998E-2</v>
      </c>
      <c r="T21">
        <f ca="1">U4/R21</f>
        <v>1.2870090634441089</v>
      </c>
      <c r="U21">
        <f ca="1">U5/S21</f>
        <v>6.6144397908031519E-2</v>
      </c>
      <c r="X21">
        <v>4.4112999999999999E-2</v>
      </c>
    </row>
    <row r="22" spans="6:24" x14ac:dyDescent="0.35">
      <c r="F22">
        <v>1.652E-3</v>
      </c>
      <c r="X22">
        <v>1.0679999999999999E-3</v>
      </c>
    </row>
    <row r="23" spans="6:24" x14ac:dyDescent="0.35">
      <c r="F23" t="s">
        <v>11</v>
      </c>
      <c r="X23" t="s">
        <v>181</v>
      </c>
    </row>
    <row r="25" spans="6:24" x14ac:dyDescent="0.35">
      <c r="F25" t="s">
        <v>1</v>
      </c>
      <c r="N25">
        <v>1</v>
      </c>
      <c r="O25">
        <v>1</v>
      </c>
      <c r="X25" t="s">
        <v>178</v>
      </c>
    </row>
    <row r="26" spans="6:24" x14ac:dyDescent="0.35">
      <c r="F26" t="s">
        <v>2</v>
      </c>
      <c r="N26">
        <v>2</v>
      </c>
      <c r="O26">
        <v>2</v>
      </c>
      <c r="X26" t="s">
        <v>2</v>
      </c>
    </row>
    <row r="27" spans="6:24" x14ac:dyDescent="0.35">
      <c r="F27" t="s">
        <v>3</v>
      </c>
      <c r="N27">
        <v>3</v>
      </c>
      <c r="O27">
        <v>3</v>
      </c>
      <c r="X27" t="s">
        <v>4</v>
      </c>
    </row>
    <row r="28" spans="6:24" x14ac:dyDescent="0.35">
      <c r="F28" t="s">
        <v>4</v>
      </c>
      <c r="N28">
        <v>4</v>
      </c>
      <c r="O28">
        <v>4</v>
      </c>
      <c r="X28" t="s">
        <v>5</v>
      </c>
    </row>
    <row r="29" spans="6:24" x14ac:dyDescent="0.35">
      <c r="F29" t="s">
        <v>5</v>
      </c>
      <c r="N29">
        <v>5</v>
      </c>
      <c r="O29">
        <v>5</v>
      </c>
    </row>
    <row r="30" spans="6:24" x14ac:dyDescent="0.35">
      <c r="N30">
        <v>6</v>
      </c>
      <c r="O30">
        <v>6</v>
      </c>
      <c r="X30" t="s">
        <v>6</v>
      </c>
    </row>
    <row r="31" spans="6:24" x14ac:dyDescent="0.35">
      <c r="F31" t="s">
        <v>6</v>
      </c>
      <c r="N31">
        <v>7</v>
      </c>
      <c r="O31">
        <v>7</v>
      </c>
      <c r="X31" t="s">
        <v>179</v>
      </c>
    </row>
    <row r="32" spans="6:24" x14ac:dyDescent="0.35">
      <c r="F32" t="s">
        <v>7</v>
      </c>
      <c r="N32">
        <v>8</v>
      </c>
      <c r="O32">
        <v>8</v>
      </c>
      <c r="X32">
        <v>24</v>
      </c>
    </row>
    <row r="33" spans="6:24" x14ac:dyDescent="0.35">
      <c r="F33">
        <v>24</v>
      </c>
      <c r="X33">
        <v>94200</v>
      </c>
    </row>
    <row r="34" spans="6:24" x14ac:dyDescent="0.35">
      <c r="F34">
        <v>94200</v>
      </c>
      <c r="X34" t="s">
        <v>8</v>
      </c>
    </row>
    <row r="35" spans="6:24" x14ac:dyDescent="0.35">
      <c r="F35" t="s">
        <v>8</v>
      </c>
      <c r="X35" t="s">
        <v>9</v>
      </c>
    </row>
    <row r="36" spans="6:24" x14ac:dyDescent="0.35">
      <c r="F36" t="s">
        <v>9</v>
      </c>
    </row>
    <row r="37" spans="6:24" x14ac:dyDescent="0.35">
      <c r="X37" t="s">
        <v>10</v>
      </c>
    </row>
    <row r="38" spans="6:24" x14ac:dyDescent="0.35">
      <c r="F38" t="s">
        <v>10</v>
      </c>
      <c r="X38" t="s">
        <v>180</v>
      </c>
    </row>
    <row r="39" spans="6:24" x14ac:dyDescent="0.35">
      <c r="F39">
        <v>1.8E-5</v>
      </c>
      <c r="X39">
        <v>1.4435E-2</v>
      </c>
    </row>
    <row r="40" spans="6:24" x14ac:dyDescent="0.35">
      <c r="F40">
        <v>1.2489999999999999E-3</v>
      </c>
      <c r="X40">
        <v>1.2440000000000001E-3</v>
      </c>
    </row>
    <row r="41" spans="6:24" x14ac:dyDescent="0.35">
      <c r="F41" t="s">
        <v>12</v>
      </c>
      <c r="X41" t="s">
        <v>182</v>
      </c>
    </row>
    <row r="43" spans="6:24" x14ac:dyDescent="0.35">
      <c r="F43" t="s">
        <v>1</v>
      </c>
      <c r="X43" t="s">
        <v>178</v>
      </c>
    </row>
    <row r="44" spans="6:24" x14ac:dyDescent="0.35">
      <c r="F44" t="s">
        <v>2</v>
      </c>
      <c r="X44" t="s">
        <v>2</v>
      </c>
    </row>
    <row r="45" spans="6:24" x14ac:dyDescent="0.35">
      <c r="F45" t="s">
        <v>3</v>
      </c>
      <c r="X45" t="s">
        <v>4</v>
      </c>
    </row>
    <row r="46" spans="6:24" x14ac:dyDescent="0.35">
      <c r="F46" t="s">
        <v>4</v>
      </c>
      <c r="X46" t="s">
        <v>5</v>
      </c>
    </row>
    <row r="47" spans="6:24" x14ac:dyDescent="0.35">
      <c r="F47" t="s">
        <v>5</v>
      </c>
    </row>
    <row r="48" spans="6:24" x14ac:dyDescent="0.35">
      <c r="X48" t="s">
        <v>6</v>
      </c>
    </row>
    <row r="49" spans="6:24" x14ac:dyDescent="0.35">
      <c r="F49" t="s">
        <v>6</v>
      </c>
      <c r="X49" t="s">
        <v>179</v>
      </c>
    </row>
    <row r="50" spans="6:24" x14ac:dyDescent="0.35">
      <c r="F50" t="s">
        <v>7</v>
      </c>
      <c r="X50">
        <v>24</v>
      </c>
    </row>
    <row r="51" spans="6:24" x14ac:dyDescent="0.35">
      <c r="F51">
        <v>24</v>
      </c>
      <c r="X51">
        <v>94200</v>
      </c>
    </row>
    <row r="52" spans="6:24" x14ac:dyDescent="0.35">
      <c r="F52">
        <v>94200</v>
      </c>
      <c r="X52" t="s">
        <v>8</v>
      </c>
    </row>
    <row r="53" spans="6:24" x14ac:dyDescent="0.35">
      <c r="F53" t="s">
        <v>8</v>
      </c>
      <c r="X53" t="s">
        <v>9</v>
      </c>
    </row>
    <row r="54" spans="6:24" x14ac:dyDescent="0.35">
      <c r="F54" t="s">
        <v>9</v>
      </c>
    </row>
    <row r="55" spans="6:24" x14ac:dyDescent="0.35">
      <c r="X55" t="s">
        <v>10</v>
      </c>
    </row>
    <row r="56" spans="6:24" x14ac:dyDescent="0.35">
      <c r="F56" t="s">
        <v>10</v>
      </c>
      <c r="X56" t="s">
        <v>180</v>
      </c>
    </row>
    <row r="57" spans="6:24" x14ac:dyDescent="0.35">
      <c r="F57">
        <v>2.0999999999999999E-5</v>
      </c>
      <c r="X57">
        <v>4.0341000000000002E-2</v>
      </c>
    </row>
    <row r="58" spans="6:24" x14ac:dyDescent="0.35">
      <c r="F58">
        <v>1.3849999999999999E-3</v>
      </c>
      <c r="X58">
        <v>2.3890000000000001E-3</v>
      </c>
    </row>
    <row r="59" spans="6:24" x14ac:dyDescent="0.35">
      <c r="F59" t="s">
        <v>13</v>
      </c>
      <c r="X59" t="s">
        <v>183</v>
      </c>
    </row>
    <row r="61" spans="6:24" x14ac:dyDescent="0.35">
      <c r="F61" t="s">
        <v>1</v>
      </c>
      <c r="X61" t="s">
        <v>178</v>
      </c>
    </row>
    <row r="62" spans="6:24" x14ac:dyDescent="0.35">
      <c r="F62" t="s">
        <v>2</v>
      </c>
      <c r="X62" t="s">
        <v>2</v>
      </c>
    </row>
    <row r="63" spans="6:24" x14ac:dyDescent="0.35">
      <c r="F63" t="s">
        <v>3</v>
      </c>
      <c r="X63" t="s">
        <v>4</v>
      </c>
    </row>
    <row r="64" spans="6:24" x14ac:dyDescent="0.35">
      <c r="F64" t="s">
        <v>4</v>
      </c>
      <c r="X64" t="s">
        <v>5</v>
      </c>
    </row>
    <row r="65" spans="6:24" x14ac:dyDescent="0.35">
      <c r="F65" t="s">
        <v>5</v>
      </c>
    </row>
    <row r="66" spans="6:24" x14ac:dyDescent="0.35">
      <c r="X66" t="s">
        <v>6</v>
      </c>
    </row>
    <row r="67" spans="6:24" x14ac:dyDescent="0.35">
      <c r="F67" t="s">
        <v>6</v>
      </c>
      <c r="X67" t="s">
        <v>179</v>
      </c>
    </row>
    <row r="68" spans="6:24" x14ac:dyDescent="0.35">
      <c r="F68" t="s">
        <v>7</v>
      </c>
      <c r="X68">
        <v>24</v>
      </c>
    </row>
    <row r="69" spans="6:24" x14ac:dyDescent="0.35">
      <c r="F69">
        <v>24</v>
      </c>
      <c r="X69">
        <v>94200</v>
      </c>
    </row>
    <row r="70" spans="6:24" x14ac:dyDescent="0.35">
      <c r="F70">
        <v>94200</v>
      </c>
      <c r="X70" t="s">
        <v>8</v>
      </c>
    </row>
    <row r="71" spans="6:24" x14ac:dyDescent="0.35">
      <c r="F71" t="s">
        <v>8</v>
      </c>
      <c r="X71" t="s">
        <v>9</v>
      </c>
    </row>
    <row r="72" spans="6:24" x14ac:dyDescent="0.35">
      <c r="F72" t="s">
        <v>9</v>
      </c>
    </row>
    <row r="73" spans="6:24" x14ac:dyDescent="0.35">
      <c r="X73" t="s">
        <v>10</v>
      </c>
    </row>
    <row r="74" spans="6:24" x14ac:dyDescent="0.35">
      <c r="F74" t="s">
        <v>10</v>
      </c>
      <c r="X74" t="s">
        <v>180</v>
      </c>
    </row>
    <row r="75" spans="6:24" x14ac:dyDescent="0.35">
      <c r="F75">
        <v>1.9000000000000001E-5</v>
      </c>
      <c r="X75">
        <v>4.2790000000000002E-2</v>
      </c>
    </row>
    <row r="76" spans="6:24" x14ac:dyDescent="0.35">
      <c r="F76">
        <v>1.392E-3</v>
      </c>
      <c r="X76">
        <v>1.5169999999999999E-3</v>
      </c>
    </row>
    <row r="77" spans="6:24" x14ac:dyDescent="0.35">
      <c r="F77" t="s">
        <v>14</v>
      </c>
      <c r="X77" t="s">
        <v>184</v>
      </c>
    </row>
    <row r="79" spans="6:24" x14ac:dyDescent="0.35">
      <c r="F79" t="s">
        <v>1</v>
      </c>
      <c r="X79" t="s">
        <v>178</v>
      </c>
    </row>
    <row r="80" spans="6:24" x14ac:dyDescent="0.35">
      <c r="F80" t="s">
        <v>2</v>
      </c>
      <c r="X80" t="s">
        <v>2</v>
      </c>
    </row>
    <row r="81" spans="6:24" x14ac:dyDescent="0.35">
      <c r="F81" t="s">
        <v>3</v>
      </c>
      <c r="X81" t="s">
        <v>4</v>
      </c>
    </row>
    <row r="82" spans="6:24" x14ac:dyDescent="0.35">
      <c r="F82" t="s">
        <v>4</v>
      </c>
      <c r="X82" t="s">
        <v>5</v>
      </c>
    </row>
    <row r="83" spans="6:24" x14ac:dyDescent="0.35">
      <c r="F83" t="s">
        <v>5</v>
      </c>
    </row>
    <row r="84" spans="6:24" x14ac:dyDescent="0.35">
      <c r="X84" t="s">
        <v>6</v>
      </c>
    </row>
    <row r="85" spans="6:24" x14ac:dyDescent="0.35">
      <c r="F85" t="s">
        <v>6</v>
      </c>
      <c r="X85" t="s">
        <v>179</v>
      </c>
    </row>
    <row r="86" spans="6:24" x14ac:dyDescent="0.35">
      <c r="F86" t="s">
        <v>7</v>
      </c>
      <c r="X86">
        <v>24</v>
      </c>
    </row>
    <row r="87" spans="6:24" x14ac:dyDescent="0.35">
      <c r="F87">
        <v>24</v>
      </c>
      <c r="X87">
        <v>94200</v>
      </c>
    </row>
    <row r="88" spans="6:24" x14ac:dyDescent="0.35">
      <c r="F88">
        <v>94200</v>
      </c>
      <c r="X88" t="s">
        <v>8</v>
      </c>
    </row>
    <row r="89" spans="6:24" x14ac:dyDescent="0.35">
      <c r="F89" t="s">
        <v>8</v>
      </c>
      <c r="X89" t="s">
        <v>9</v>
      </c>
    </row>
    <row r="90" spans="6:24" x14ac:dyDescent="0.35">
      <c r="F90" t="s">
        <v>9</v>
      </c>
    </row>
    <row r="91" spans="6:24" x14ac:dyDescent="0.35">
      <c r="X91" t="s">
        <v>10</v>
      </c>
    </row>
    <row r="92" spans="6:24" x14ac:dyDescent="0.35">
      <c r="F92" t="s">
        <v>10</v>
      </c>
      <c r="X92" t="s">
        <v>180</v>
      </c>
    </row>
    <row r="93" spans="6:24" x14ac:dyDescent="0.35">
      <c r="F93">
        <v>2.8E-5</v>
      </c>
      <c r="X93">
        <v>1.8027999999999999E-2</v>
      </c>
    </row>
    <row r="94" spans="6:24" x14ac:dyDescent="0.35">
      <c r="F94">
        <v>1.5690000000000001E-3</v>
      </c>
      <c r="X94">
        <v>1.248E-3</v>
      </c>
    </row>
    <row r="95" spans="6:24" x14ac:dyDescent="0.35">
      <c r="F95" t="s">
        <v>15</v>
      </c>
      <c r="X95" t="s">
        <v>185</v>
      </c>
    </row>
    <row r="97" spans="6:24" x14ac:dyDescent="0.35">
      <c r="F97" t="s">
        <v>1</v>
      </c>
      <c r="X97" t="s">
        <v>178</v>
      </c>
    </row>
    <row r="98" spans="6:24" x14ac:dyDescent="0.35">
      <c r="F98" t="s">
        <v>2</v>
      </c>
      <c r="X98" t="s">
        <v>2</v>
      </c>
    </row>
    <row r="99" spans="6:24" x14ac:dyDescent="0.35">
      <c r="F99" t="s">
        <v>3</v>
      </c>
      <c r="X99" t="s">
        <v>4</v>
      </c>
    </row>
    <row r="100" spans="6:24" x14ac:dyDescent="0.35">
      <c r="F100" t="s">
        <v>4</v>
      </c>
      <c r="X100" t="s">
        <v>5</v>
      </c>
    </row>
    <row r="101" spans="6:24" x14ac:dyDescent="0.35">
      <c r="F101" t="s">
        <v>5</v>
      </c>
    </row>
    <row r="102" spans="6:24" x14ac:dyDescent="0.35">
      <c r="X102" t="s">
        <v>6</v>
      </c>
    </row>
    <row r="103" spans="6:24" x14ac:dyDescent="0.35">
      <c r="F103" t="s">
        <v>6</v>
      </c>
      <c r="X103" t="s">
        <v>179</v>
      </c>
    </row>
    <row r="104" spans="6:24" x14ac:dyDescent="0.35">
      <c r="F104" t="s">
        <v>7</v>
      </c>
      <c r="X104">
        <v>24</v>
      </c>
    </row>
    <row r="105" spans="6:24" x14ac:dyDescent="0.35">
      <c r="F105">
        <v>24</v>
      </c>
      <c r="X105">
        <v>94200</v>
      </c>
    </row>
    <row r="106" spans="6:24" x14ac:dyDescent="0.35">
      <c r="F106">
        <v>94200</v>
      </c>
      <c r="X106" t="s">
        <v>8</v>
      </c>
    </row>
    <row r="107" spans="6:24" x14ac:dyDescent="0.35">
      <c r="F107" t="s">
        <v>8</v>
      </c>
      <c r="X107" t="s">
        <v>9</v>
      </c>
    </row>
    <row r="108" spans="6:24" x14ac:dyDescent="0.35">
      <c r="F108" t="s">
        <v>9</v>
      </c>
    </row>
    <row r="109" spans="6:24" x14ac:dyDescent="0.35">
      <c r="X109" t="s">
        <v>10</v>
      </c>
    </row>
    <row r="110" spans="6:24" x14ac:dyDescent="0.35">
      <c r="F110" t="s">
        <v>10</v>
      </c>
      <c r="X110" t="s">
        <v>180</v>
      </c>
    </row>
    <row r="111" spans="6:24" x14ac:dyDescent="0.35">
      <c r="F111">
        <v>2.3E-5</v>
      </c>
      <c r="X111">
        <v>3.4415000000000001E-2</v>
      </c>
    </row>
    <row r="112" spans="6:24" x14ac:dyDescent="0.35">
      <c r="F112">
        <v>1.4679999999999999E-3</v>
      </c>
      <c r="X112">
        <v>3.4580000000000001E-3</v>
      </c>
    </row>
    <row r="113" spans="6:24" x14ac:dyDescent="0.35">
      <c r="F113" t="s">
        <v>16</v>
      </c>
      <c r="X113" t="s">
        <v>186</v>
      </c>
    </row>
    <row r="115" spans="6:24" x14ac:dyDescent="0.35">
      <c r="F115" t="s">
        <v>1</v>
      </c>
      <c r="X115" t="s">
        <v>178</v>
      </c>
    </row>
    <row r="116" spans="6:24" x14ac:dyDescent="0.35">
      <c r="F116" t="s">
        <v>2</v>
      </c>
      <c r="X116" t="s">
        <v>2</v>
      </c>
    </row>
    <row r="117" spans="6:24" x14ac:dyDescent="0.35">
      <c r="F117" t="s">
        <v>3</v>
      </c>
      <c r="X117" t="s">
        <v>4</v>
      </c>
    </row>
    <row r="118" spans="6:24" x14ac:dyDescent="0.35">
      <c r="F118" t="s">
        <v>4</v>
      </c>
      <c r="X118" t="s">
        <v>5</v>
      </c>
    </row>
    <row r="119" spans="6:24" x14ac:dyDescent="0.35">
      <c r="F119" t="s">
        <v>5</v>
      </c>
    </row>
    <row r="120" spans="6:24" x14ac:dyDescent="0.35">
      <c r="X120" t="s">
        <v>6</v>
      </c>
    </row>
    <row r="121" spans="6:24" x14ac:dyDescent="0.35">
      <c r="F121" t="s">
        <v>6</v>
      </c>
      <c r="X121" t="s">
        <v>179</v>
      </c>
    </row>
    <row r="122" spans="6:24" x14ac:dyDescent="0.35">
      <c r="F122" t="s">
        <v>7</v>
      </c>
      <c r="X122">
        <v>24</v>
      </c>
    </row>
    <row r="123" spans="6:24" x14ac:dyDescent="0.35">
      <c r="F123">
        <v>24</v>
      </c>
      <c r="X123">
        <v>94200</v>
      </c>
    </row>
    <row r="124" spans="6:24" x14ac:dyDescent="0.35">
      <c r="F124">
        <v>94200</v>
      </c>
      <c r="X124" t="s">
        <v>8</v>
      </c>
    </row>
    <row r="125" spans="6:24" x14ac:dyDescent="0.35">
      <c r="F125" t="s">
        <v>8</v>
      </c>
      <c r="X125" t="s">
        <v>9</v>
      </c>
    </row>
    <row r="126" spans="6:24" x14ac:dyDescent="0.35">
      <c r="F126" t="s">
        <v>9</v>
      </c>
    </row>
    <row r="127" spans="6:24" x14ac:dyDescent="0.35">
      <c r="X127" t="s">
        <v>10</v>
      </c>
    </row>
    <row r="128" spans="6:24" x14ac:dyDescent="0.35">
      <c r="F128" t="s">
        <v>10</v>
      </c>
      <c r="X128" t="s">
        <v>180</v>
      </c>
    </row>
    <row r="129" spans="6:24" x14ac:dyDescent="0.35">
      <c r="F129">
        <v>1.8E-5</v>
      </c>
      <c r="X129">
        <v>1.5079E-2</v>
      </c>
    </row>
    <row r="130" spans="6:24" x14ac:dyDescent="0.35">
      <c r="F130">
        <v>1.2639999999999999E-3</v>
      </c>
      <c r="X130">
        <v>1.1980000000000001E-3</v>
      </c>
    </row>
    <row r="131" spans="6:24" x14ac:dyDescent="0.35">
      <c r="F131" t="s">
        <v>17</v>
      </c>
      <c r="X131" t="s">
        <v>187</v>
      </c>
    </row>
    <row r="133" spans="6:24" x14ac:dyDescent="0.35">
      <c r="F133" t="s">
        <v>1</v>
      </c>
      <c r="X133" t="s">
        <v>178</v>
      </c>
    </row>
    <row r="134" spans="6:24" x14ac:dyDescent="0.35">
      <c r="F134" t="s">
        <v>2</v>
      </c>
      <c r="X134" t="s">
        <v>2</v>
      </c>
    </row>
    <row r="135" spans="6:24" x14ac:dyDescent="0.35">
      <c r="F135" t="s">
        <v>3</v>
      </c>
      <c r="X135" t="s">
        <v>4</v>
      </c>
    </row>
    <row r="136" spans="6:24" x14ac:dyDescent="0.35">
      <c r="F136" t="s">
        <v>4</v>
      </c>
      <c r="X136" t="s">
        <v>5</v>
      </c>
    </row>
    <row r="137" spans="6:24" x14ac:dyDescent="0.35">
      <c r="F137" t="s">
        <v>5</v>
      </c>
    </row>
    <row r="138" spans="6:24" x14ac:dyDescent="0.35">
      <c r="X138" t="s">
        <v>6</v>
      </c>
    </row>
    <row r="139" spans="6:24" x14ac:dyDescent="0.35">
      <c r="F139" t="s">
        <v>6</v>
      </c>
      <c r="X139" t="s">
        <v>179</v>
      </c>
    </row>
    <row r="140" spans="6:24" x14ac:dyDescent="0.35">
      <c r="F140" t="s">
        <v>7</v>
      </c>
      <c r="X140">
        <v>24</v>
      </c>
    </row>
    <row r="141" spans="6:24" x14ac:dyDescent="0.35">
      <c r="F141">
        <v>24</v>
      </c>
      <c r="X141">
        <v>94200</v>
      </c>
    </row>
    <row r="142" spans="6:24" x14ac:dyDescent="0.35">
      <c r="F142">
        <v>94200</v>
      </c>
      <c r="X142" t="s">
        <v>8</v>
      </c>
    </row>
    <row r="143" spans="6:24" x14ac:dyDescent="0.35">
      <c r="F143" t="s">
        <v>8</v>
      </c>
      <c r="X143" t="s">
        <v>9</v>
      </c>
    </row>
    <row r="144" spans="6:24" x14ac:dyDescent="0.35">
      <c r="F144" t="s">
        <v>9</v>
      </c>
    </row>
    <row r="145" spans="6:24" x14ac:dyDescent="0.35">
      <c r="X145" t="s">
        <v>10</v>
      </c>
    </row>
    <row r="146" spans="6:24" x14ac:dyDescent="0.35">
      <c r="F146" t="s">
        <v>10</v>
      </c>
      <c r="X146" t="s">
        <v>180</v>
      </c>
    </row>
    <row r="147" spans="6:24" x14ac:dyDescent="0.35">
      <c r="F147">
        <v>2.5999999999999998E-5</v>
      </c>
      <c r="X147">
        <v>2.0115000000000001E-2</v>
      </c>
    </row>
    <row r="148" spans="6:24" x14ac:dyDescent="0.35">
      <c r="F148">
        <v>1.482E-3</v>
      </c>
      <c r="X148">
        <v>1.41E-3</v>
      </c>
    </row>
    <row r="149" spans="6:24" x14ac:dyDescent="0.35">
      <c r="F149" t="s">
        <v>18</v>
      </c>
      <c r="X149" t="s">
        <v>188</v>
      </c>
    </row>
    <row r="151" spans="6:24" x14ac:dyDescent="0.35">
      <c r="F151" t="s">
        <v>1</v>
      </c>
      <c r="X151" t="s">
        <v>178</v>
      </c>
    </row>
    <row r="152" spans="6:24" x14ac:dyDescent="0.35">
      <c r="F152" t="s">
        <v>2</v>
      </c>
      <c r="X152" t="s">
        <v>2</v>
      </c>
    </row>
    <row r="153" spans="6:24" x14ac:dyDescent="0.35">
      <c r="F153" t="s">
        <v>3</v>
      </c>
      <c r="X153" t="s">
        <v>4</v>
      </c>
    </row>
    <row r="154" spans="6:24" x14ac:dyDescent="0.35">
      <c r="F154" t="s">
        <v>4</v>
      </c>
      <c r="X154" t="s">
        <v>5</v>
      </c>
    </row>
    <row r="155" spans="6:24" x14ac:dyDescent="0.35">
      <c r="F155" t="s">
        <v>5</v>
      </c>
    </row>
    <row r="156" spans="6:24" x14ac:dyDescent="0.35">
      <c r="X156" t="s">
        <v>6</v>
      </c>
    </row>
    <row r="157" spans="6:24" x14ac:dyDescent="0.35">
      <c r="F157" t="s">
        <v>6</v>
      </c>
      <c r="X157" t="s">
        <v>179</v>
      </c>
    </row>
    <row r="158" spans="6:24" x14ac:dyDescent="0.35">
      <c r="F158" t="s">
        <v>7</v>
      </c>
      <c r="X158">
        <v>24</v>
      </c>
    </row>
    <row r="159" spans="6:24" x14ac:dyDescent="0.35">
      <c r="F159">
        <v>24</v>
      </c>
      <c r="X159">
        <v>94200</v>
      </c>
    </row>
    <row r="160" spans="6:24" x14ac:dyDescent="0.35">
      <c r="F160">
        <v>94200</v>
      </c>
      <c r="X160" t="s">
        <v>8</v>
      </c>
    </row>
    <row r="161" spans="6:24" x14ac:dyDescent="0.35">
      <c r="F161" t="s">
        <v>8</v>
      </c>
      <c r="X161" t="s">
        <v>9</v>
      </c>
    </row>
    <row r="162" spans="6:24" x14ac:dyDescent="0.35">
      <c r="F162" t="s">
        <v>9</v>
      </c>
    </row>
    <row r="163" spans="6:24" x14ac:dyDescent="0.35">
      <c r="X163" t="s">
        <v>10</v>
      </c>
    </row>
    <row r="164" spans="6:24" x14ac:dyDescent="0.35">
      <c r="F164" t="s">
        <v>10</v>
      </c>
      <c r="X164" t="s">
        <v>180</v>
      </c>
    </row>
    <row r="165" spans="6:24" x14ac:dyDescent="0.35">
      <c r="F165">
        <v>2.5000000000000001E-5</v>
      </c>
      <c r="X165">
        <v>3.2835000000000003E-2</v>
      </c>
    </row>
    <row r="166" spans="6:24" x14ac:dyDescent="0.35">
      <c r="F166">
        <v>1.2440000000000001E-3</v>
      </c>
      <c r="X166">
        <v>1.8779999999999999E-3</v>
      </c>
    </row>
    <row r="167" spans="6:24" x14ac:dyDescent="0.35">
      <c r="F167" t="s">
        <v>19</v>
      </c>
      <c r="X167" t="s">
        <v>189</v>
      </c>
    </row>
    <row r="169" spans="6:24" x14ac:dyDescent="0.35">
      <c r="F169" t="s">
        <v>1</v>
      </c>
      <c r="X169" t="s">
        <v>178</v>
      </c>
    </row>
    <row r="170" spans="6:24" x14ac:dyDescent="0.35">
      <c r="F170" t="s">
        <v>2</v>
      </c>
      <c r="X170" t="s">
        <v>2</v>
      </c>
    </row>
    <row r="171" spans="6:24" x14ac:dyDescent="0.35">
      <c r="F171" t="s">
        <v>3</v>
      </c>
      <c r="X171" t="s">
        <v>4</v>
      </c>
    </row>
    <row r="172" spans="6:24" x14ac:dyDescent="0.35">
      <c r="F172" t="s">
        <v>4</v>
      </c>
      <c r="X172" t="s">
        <v>5</v>
      </c>
    </row>
    <row r="173" spans="6:24" x14ac:dyDescent="0.35">
      <c r="F173" t="s">
        <v>5</v>
      </c>
    </row>
    <row r="174" spans="6:24" x14ac:dyDescent="0.35">
      <c r="X174" t="s">
        <v>6</v>
      </c>
    </row>
    <row r="175" spans="6:24" x14ac:dyDescent="0.35">
      <c r="F175" t="s">
        <v>6</v>
      </c>
      <c r="X175" t="s">
        <v>179</v>
      </c>
    </row>
    <row r="176" spans="6:24" x14ac:dyDescent="0.35">
      <c r="F176" t="s">
        <v>7</v>
      </c>
      <c r="X176">
        <v>24</v>
      </c>
    </row>
    <row r="177" spans="6:24" x14ac:dyDescent="0.35">
      <c r="F177">
        <v>24</v>
      </c>
      <c r="X177">
        <v>94200</v>
      </c>
    </row>
    <row r="178" spans="6:24" x14ac:dyDescent="0.35">
      <c r="F178">
        <v>94200</v>
      </c>
      <c r="X178" t="s">
        <v>8</v>
      </c>
    </row>
    <row r="179" spans="6:24" x14ac:dyDescent="0.35">
      <c r="F179" t="s">
        <v>8</v>
      </c>
      <c r="X179" t="s">
        <v>9</v>
      </c>
    </row>
    <row r="180" spans="6:24" x14ac:dyDescent="0.35">
      <c r="F180" t="s">
        <v>9</v>
      </c>
    </row>
    <row r="181" spans="6:24" x14ac:dyDescent="0.35">
      <c r="X181" t="s">
        <v>10</v>
      </c>
    </row>
    <row r="182" spans="6:24" x14ac:dyDescent="0.35">
      <c r="F182" t="s">
        <v>10</v>
      </c>
      <c r="X182" t="s">
        <v>180</v>
      </c>
    </row>
    <row r="183" spans="6:24" x14ac:dyDescent="0.35">
      <c r="F183">
        <v>2.0000000000000002E-5</v>
      </c>
      <c r="X183">
        <v>2.6723E-2</v>
      </c>
    </row>
    <row r="184" spans="6:24" x14ac:dyDescent="0.35">
      <c r="F184">
        <v>1.658E-3</v>
      </c>
      <c r="X184">
        <v>1.2769999999999999E-3</v>
      </c>
    </row>
    <row r="185" spans="6:24" x14ac:dyDescent="0.35">
      <c r="F185" t="s">
        <v>20</v>
      </c>
      <c r="X185" t="s">
        <v>190</v>
      </c>
    </row>
    <row r="186" spans="6:24" x14ac:dyDescent="0.35">
      <c r="F186" t="s">
        <v>21</v>
      </c>
      <c r="X186" t="s">
        <v>177</v>
      </c>
    </row>
    <row r="188" spans="6:24" x14ac:dyDescent="0.35">
      <c r="F188" t="s">
        <v>1</v>
      </c>
      <c r="X188" t="s">
        <v>178</v>
      </c>
    </row>
    <row r="189" spans="6:24" x14ac:dyDescent="0.35">
      <c r="F189" t="s">
        <v>2</v>
      </c>
      <c r="X189" t="s">
        <v>2</v>
      </c>
    </row>
    <row r="190" spans="6:24" x14ac:dyDescent="0.35">
      <c r="F190" t="s">
        <v>22</v>
      </c>
      <c r="X190" t="s">
        <v>4</v>
      </c>
    </row>
    <row r="191" spans="6:24" x14ac:dyDescent="0.35">
      <c r="F191" t="s">
        <v>4</v>
      </c>
      <c r="X191" t="s">
        <v>5</v>
      </c>
    </row>
    <row r="192" spans="6:24" x14ac:dyDescent="0.35">
      <c r="F192" t="s">
        <v>5</v>
      </c>
    </row>
    <row r="193" spans="6:24" x14ac:dyDescent="0.35">
      <c r="X193" t="s">
        <v>6</v>
      </c>
    </row>
    <row r="194" spans="6:24" x14ac:dyDescent="0.35">
      <c r="F194" t="s">
        <v>6</v>
      </c>
      <c r="X194" t="s">
        <v>179</v>
      </c>
    </row>
    <row r="195" spans="6:24" x14ac:dyDescent="0.35">
      <c r="F195" t="s">
        <v>7</v>
      </c>
      <c r="X195">
        <v>24</v>
      </c>
    </row>
    <row r="196" spans="6:24" x14ac:dyDescent="0.35">
      <c r="F196">
        <v>24</v>
      </c>
      <c r="X196">
        <v>94200</v>
      </c>
    </row>
    <row r="197" spans="6:24" x14ac:dyDescent="0.35">
      <c r="F197">
        <v>93254</v>
      </c>
      <c r="X197" t="s">
        <v>8</v>
      </c>
    </row>
    <row r="198" spans="6:24" x14ac:dyDescent="0.35">
      <c r="F198" t="s">
        <v>23</v>
      </c>
      <c r="X198" t="s">
        <v>9</v>
      </c>
    </row>
    <row r="199" spans="6:24" x14ac:dyDescent="0.35">
      <c r="F199" t="s">
        <v>9</v>
      </c>
    </row>
    <row r="200" spans="6:24" x14ac:dyDescent="0.35">
      <c r="X200" t="s">
        <v>10</v>
      </c>
    </row>
    <row r="201" spans="6:24" x14ac:dyDescent="0.35">
      <c r="F201" t="s">
        <v>10</v>
      </c>
      <c r="X201" t="s">
        <v>180</v>
      </c>
    </row>
    <row r="202" spans="6:24" x14ac:dyDescent="0.35">
      <c r="F202">
        <v>2.0999999999999999E-5</v>
      </c>
      <c r="X202">
        <v>1.6997000000000002E-2</v>
      </c>
    </row>
    <row r="203" spans="6:24" x14ac:dyDescent="0.35">
      <c r="F203">
        <v>1.7420000000000001E-3</v>
      </c>
      <c r="X203">
        <v>1.333E-3</v>
      </c>
    </row>
    <row r="204" spans="6:24" x14ac:dyDescent="0.35">
      <c r="F204" t="s">
        <v>24</v>
      </c>
      <c r="X204" t="s">
        <v>191</v>
      </c>
    </row>
    <row r="206" spans="6:24" x14ac:dyDescent="0.35">
      <c r="F206" t="s">
        <v>1</v>
      </c>
      <c r="X206" t="s">
        <v>178</v>
      </c>
    </row>
    <row r="207" spans="6:24" x14ac:dyDescent="0.35">
      <c r="F207" t="s">
        <v>2</v>
      </c>
      <c r="X207" t="s">
        <v>2</v>
      </c>
    </row>
    <row r="208" spans="6:24" x14ac:dyDescent="0.35">
      <c r="F208" t="s">
        <v>22</v>
      </c>
      <c r="X208" t="s">
        <v>4</v>
      </c>
    </row>
    <row r="209" spans="6:24" x14ac:dyDescent="0.35">
      <c r="F209" t="s">
        <v>4</v>
      </c>
      <c r="X209" t="s">
        <v>5</v>
      </c>
    </row>
    <row r="210" spans="6:24" x14ac:dyDescent="0.35">
      <c r="F210" t="s">
        <v>5</v>
      </c>
    </row>
    <row r="211" spans="6:24" x14ac:dyDescent="0.35">
      <c r="X211" t="s">
        <v>6</v>
      </c>
    </row>
    <row r="212" spans="6:24" x14ac:dyDescent="0.35">
      <c r="F212" t="s">
        <v>6</v>
      </c>
      <c r="X212" t="s">
        <v>179</v>
      </c>
    </row>
    <row r="213" spans="6:24" x14ac:dyDescent="0.35">
      <c r="F213" t="s">
        <v>7</v>
      </c>
      <c r="X213">
        <v>24</v>
      </c>
    </row>
    <row r="214" spans="6:24" x14ac:dyDescent="0.35">
      <c r="F214">
        <v>25</v>
      </c>
      <c r="X214">
        <v>94200</v>
      </c>
    </row>
    <row r="215" spans="6:24" x14ac:dyDescent="0.35">
      <c r="F215">
        <v>93975</v>
      </c>
      <c r="X215" t="s">
        <v>8</v>
      </c>
    </row>
    <row r="216" spans="6:24" x14ac:dyDescent="0.35">
      <c r="F216" t="s">
        <v>25</v>
      </c>
      <c r="X216" t="s">
        <v>9</v>
      </c>
    </row>
    <row r="217" spans="6:24" x14ac:dyDescent="0.35">
      <c r="F217" t="s">
        <v>9</v>
      </c>
    </row>
    <row r="218" spans="6:24" x14ac:dyDescent="0.35">
      <c r="X218" t="s">
        <v>10</v>
      </c>
    </row>
    <row r="219" spans="6:24" x14ac:dyDescent="0.35">
      <c r="F219" t="s">
        <v>10</v>
      </c>
      <c r="X219" t="s">
        <v>180</v>
      </c>
    </row>
    <row r="220" spans="6:24" x14ac:dyDescent="0.35">
      <c r="F220">
        <v>2.0000000000000002E-5</v>
      </c>
      <c r="X220">
        <v>1.4922E-2</v>
      </c>
    </row>
    <row r="221" spans="6:24" x14ac:dyDescent="0.35">
      <c r="F221">
        <v>1.8649999999999999E-3</v>
      </c>
      <c r="X221">
        <v>1.462E-3</v>
      </c>
    </row>
    <row r="222" spans="6:24" x14ac:dyDescent="0.35">
      <c r="F222" t="s">
        <v>26</v>
      </c>
      <c r="X222" t="s">
        <v>192</v>
      </c>
    </row>
    <row r="224" spans="6:24" x14ac:dyDescent="0.35">
      <c r="F224" t="s">
        <v>1</v>
      </c>
      <c r="X224" t="s">
        <v>178</v>
      </c>
    </row>
    <row r="225" spans="6:24" x14ac:dyDescent="0.35">
      <c r="F225" t="s">
        <v>2</v>
      </c>
      <c r="X225" t="s">
        <v>2</v>
      </c>
    </row>
    <row r="226" spans="6:24" x14ac:dyDescent="0.35">
      <c r="F226" t="s">
        <v>22</v>
      </c>
      <c r="X226" t="s">
        <v>4</v>
      </c>
    </row>
    <row r="227" spans="6:24" x14ac:dyDescent="0.35">
      <c r="F227" t="s">
        <v>4</v>
      </c>
      <c r="X227" t="s">
        <v>5</v>
      </c>
    </row>
    <row r="228" spans="6:24" x14ac:dyDescent="0.35">
      <c r="F228" t="s">
        <v>5</v>
      </c>
    </row>
    <row r="229" spans="6:24" x14ac:dyDescent="0.35">
      <c r="X229" t="s">
        <v>6</v>
      </c>
    </row>
    <row r="230" spans="6:24" x14ac:dyDescent="0.35">
      <c r="F230" t="s">
        <v>6</v>
      </c>
      <c r="X230" t="s">
        <v>179</v>
      </c>
    </row>
    <row r="231" spans="6:24" x14ac:dyDescent="0.35">
      <c r="F231" t="s">
        <v>7</v>
      </c>
      <c r="X231">
        <v>24</v>
      </c>
    </row>
    <row r="232" spans="6:24" x14ac:dyDescent="0.35">
      <c r="F232">
        <v>25</v>
      </c>
      <c r="X232">
        <v>94200</v>
      </c>
    </row>
    <row r="233" spans="6:24" x14ac:dyDescent="0.35">
      <c r="F233">
        <v>97314</v>
      </c>
      <c r="X233" t="s">
        <v>8</v>
      </c>
    </row>
    <row r="234" spans="6:24" x14ac:dyDescent="0.35">
      <c r="F234" t="s">
        <v>27</v>
      </c>
      <c r="X234" t="s">
        <v>9</v>
      </c>
    </row>
    <row r="235" spans="6:24" x14ac:dyDescent="0.35">
      <c r="F235" t="s">
        <v>9</v>
      </c>
    </row>
    <row r="236" spans="6:24" x14ac:dyDescent="0.35">
      <c r="X236" t="s">
        <v>10</v>
      </c>
    </row>
    <row r="237" spans="6:24" x14ac:dyDescent="0.35">
      <c r="F237" t="s">
        <v>10</v>
      </c>
      <c r="X237" t="s">
        <v>180</v>
      </c>
    </row>
    <row r="238" spans="6:24" x14ac:dyDescent="0.35">
      <c r="F238">
        <v>1.25E-4</v>
      </c>
      <c r="X238">
        <v>1.5093000000000001E-2</v>
      </c>
    </row>
    <row r="239" spans="6:24" x14ac:dyDescent="0.35">
      <c r="F239">
        <v>1.4139999999999999E-3</v>
      </c>
      <c r="X239">
        <v>1.183E-3</v>
      </c>
    </row>
    <row r="240" spans="6:24" x14ac:dyDescent="0.35">
      <c r="F240" t="s">
        <v>28</v>
      </c>
      <c r="X240" t="s">
        <v>193</v>
      </c>
    </row>
    <row r="242" spans="6:24" x14ac:dyDescent="0.35">
      <c r="F242" t="s">
        <v>1</v>
      </c>
      <c r="X242" t="s">
        <v>178</v>
      </c>
    </row>
    <row r="243" spans="6:24" x14ac:dyDescent="0.35">
      <c r="F243" t="s">
        <v>2</v>
      </c>
      <c r="X243" t="s">
        <v>2</v>
      </c>
    </row>
    <row r="244" spans="6:24" x14ac:dyDescent="0.35">
      <c r="F244" t="s">
        <v>22</v>
      </c>
      <c r="X244" t="s">
        <v>4</v>
      </c>
    </row>
    <row r="245" spans="6:24" x14ac:dyDescent="0.35">
      <c r="F245" t="s">
        <v>4</v>
      </c>
      <c r="X245" t="s">
        <v>5</v>
      </c>
    </row>
    <row r="246" spans="6:24" x14ac:dyDescent="0.35">
      <c r="F246" t="s">
        <v>5</v>
      </c>
    </row>
    <row r="247" spans="6:24" x14ac:dyDescent="0.35">
      <c r="X247" t="s">
        <v>6</v>
      </c>
    </row>
    <row r="248" spans="6:24" x14ac:dyDescent="0.35">
      <c r="F248" t="s">
        <v>6</v>
      </c>
      <c r="X248" t="s">
        <v>179</v>
      </c>
    </row>
    <row r="249" spans="6:24" x14ac:dyDescent="0.35">
      <c r="F249" t="s">
        <v>7</v>
      </c>
      <c r="X249">
        <v>24</v>
      </c>
    </row>
    <row r="250" spans="6:24" x14ac:dyDescent="0.35">
      <c r="F250">
        <v>24</v>
      </c>
      <c r="X250">
        <v>94200</v>
      </c>
    </row>
    <row r="251" spans="6:24" x14ac:dyDescent="0.35">
      <c r="F251">
        <v>94376</v>
      </c>
      <c r="X251" t="s">
        <v>8</v>
      </c>
    </row>
    <row r="252" spans="6:24" x14ac:dyDescent="0.35">
      <c r="F252" t="s">
        <v>29</v>
      </c>
      <c r="X252" t="s">
        <v>9</v>
      </c>
    </row>
    <row r="253" spans="6:24" x14ac:dyDescent="0.35">
      <c r="F253" t="s">
        <v>9</v>
      </c>
    </row>
    <row r="254" spans="6:24" x14ac:dyDescent="0.35">
      <c r="X254" t="s">
        <v>10</v>
      </c>
    </row>
    <row r="255" spans="6:24" x14ac:dyDescent="0.35">
      <c r="F255" t="s">
        <v>10</v>
      </c>
      <c r="X255" t="s">
        <v>180</v>
      </c>
    </row>
    <row r="256" spans="6:24" x14ac:dyDescent="0.35">
      <c r="F256">
        <v>1.7E-5</v>
      </c>
      <c r="X256">
        <v>1.5344E-2</v>
      </c>
    </row>
    <row r="257" spans="6:24" x14ac:dyDescent="0.35">
      <c r="F257">
        <v>3.6800000000000001E-3</v>
      </c>
      <c r="X257">
        <v>1.1640000000000001E-3</v>
      </c>
    </row>
    <row r="258" spans="6:24" x14ac:dyDescent="0.35">
      <c r="F258" t="s">
        <v>30</v>
      </c>
      <c r="X258" t="s">
        <v>194</v>
      </c>
    </row>
    <row r="260" spans="6:24" x14ac:dyDescent="0.35">
      <c r="F260" t="s">
        <v>1</v>
      </c>
      <c r="X260" t="s">
        <v>178</v>
      </c>
    </row>
    <row r="261" spans="6:24" x14ac:dyDescent="0.35">
      <c r="F261" t="s">
        <v>2</v>
      </c>
      <c r="X261" t="s">
        <v>2</v>
      </c>
    </row>
    <row r="262" spans="6:24" x14ac:dyDescent="0.35">
      <c r="F262" t="s">
        <v>22</v>
      </c>
      <c r="X262" t="s">
        <v>4</v>
      </c>
    </row>
    <row r="263" spans="6:24" x14ac:dyDescent="0.35">
      <c r="F263" t="s">
        <v>4</v>
      </c>
      <c r="X263" t="s">
        <v>5</v>
      </c>
    </row>
    <row r="264" spans="6:24" x14ac:dyDescent="0.35">
      <c r="F264" t="s">
        <v>5</v>
      </c>
    </row>
    <row r="265" spans="6:24" x14ac:dyDescent="0.35">
      <c r="X265" t="s">
        <v>6</v>
      </c>
    </row>
    <row r="266" spans="6:24" x14ac:dyDescent="0.35">
      <c r="F266" t="s">
        <v>6</v>
      </c>
      <c r="X266" t="s">
        <v>179</v>
      </c>
    </row>
    <row r="267" spans="6:24" x14ac:dyDescent="0.35">
      <c r="F267" t="s">
        <v>7</v>
      </c>
      <c r="X267">
        <v>24</v>
      </c>
    </row>
    <row r="268" spans="6:24" x14ac:dyDescent="0.35">
      <c r="F268">
        <v>24</v>
      </c>
      <c r="X268">
        <v>94200</v>
      </c>
    </row>
    <row r="269" spans="6:24" x14ac:dyDescent="0.35">
      <c r="F269">
        <v>92331</v>
      </c>
      <c r="X269" t="s">
        <v>8</v>
      </c>
    </row>
    <row r="270" spans="6:24" x14ac:dyDescent="0.35">
      <c r="F270" t="s">
        <v>31</v>
      </c>
      <c r="X270" t="s">
        <v>9</v>
      </c>
    </row>
    <row r="271" spans="6:24" x14ac:dyDescent="0.35">
      <c r="F271" t="s">
        <v>9</v>
      </c>
    </row>
    <row r="272" spans="6:24" x14ac:dyDescent="0.35">
      <c r="X272" t="s">
        <v>10</v>
      </c>
    </row>
    <row r="273" spans="6:24" x14ac:dyDescent="0.35">
      <c r="F273" t="s">
        <v>10</v>
      </c>
      <c r="X273" t="s">
        <v>180</v>
      </c>
    </row>
    <row r="274" spans="6:24" x14ac:dyDescent="0.35">
      <c r="F274">
        <v>2.5999999999999998E-5</v>
      </c>
      <c r="X274">
        <v>1.5245999999999999E-2</v>
      </c>
    </row>
    <row r="275" spans="6:24" x14ac:dyDescent="0.35">
      <c r="F275">
        <v>1.4829999999999999E-3</v>
      </c>
      <c r="X275">
        <v>1.139E-3</v>
      </c>
    </row>
    <row r="276" spans="6:24" x14ac:dyDescent="0.35">
      <c r="F276" t="s">
        <v>18</v>
      </c>
      <c r="X276" t="s">
        <v>195</v>
      </c>
    </row>
    <row r="278" spans="6:24" x14ac:dyDescent="0.35">
      <c r="F278" t="s">
        <v>1</v>
      </c>
      <c r="X278" t="s">
        <v>178</v>
      </c>
    </row>
    <row r="279" spans="6:24" x14ac:dyDescent="0.35">
      <c r="F279" t="s">
        <v>2</v>
      </c>
      <c r="X279" t="s">
        <v>2</v>
      </c>
    </row>
    <row r="280" spans="6:24" x14ac:dyDescent="0.35">
      <c r="F280" t="s">
        <v>22</v>
      </c>
      <c r="X280" t="s">
        <v>4</v>
      </c>
    </row>
    <row r="281" spans="6:24" x14ac:dyDescent="0.35">
      <c r="F281" t="s">
        <v>4</v>
      </c>
      <c r="X281" t="s">
        <v>5</v>
      </c>
    </row>
    <row r="282" spans="6:24" x14ac:dyDescent="0.35">
      <c r="F282" t="s">
        <v>5</v>
      </c>
    </row>
    <row r="283" spans="6:24" x14ac:dyDescent="0.35">
      <c r="X283" t="s">
        <v>6</v>
      </c>
    </row>
    <row r="284" spans="6:24" x14ac:dyDescent="0.35">
      <c r="F284" t="s">
        <v>6</v>
      </c>
      <c r="X284" t="s">
        <v>179</v>
      </c>
    </row>
    <row r="285" spans="6:24" x14ac:dyDescent="0.35">
      <c r="F285" t="s">
        <v>7</v>
      </c>
      <c r="X285">
        <v>24</v>
      </c>
    </row>
    <row r="286" spans="6:24" x14ac:dyDescent="0.35">
      <c r="F286">
        <v>24</v>
      </c>
      <c r="X286">
        <v>94200</v>
      </c>
    </row>
    <row r="287" spans="6:24" x14ac:dyDescent="0.35">
      <c r="F287">
        <v>97490</v>
      </c>
      <c r="X287" t="s">
        <v>8</v>
      </c>
    </row>
    <row r="288" spans="6:24" x14ac:dyDescent="0.35">
      <c r="F288" t="s">
        <v>32</v>
      </c>
      <c r="X288" t="s">
        <v>9</v>
      </c>
    </row>
    <row r="289" spans="6:24" x14ac:dyDescent="0.35">
      <c r="F289" t="s">
        <v>33</v>
      </c>
    </row>
    <row r="290" spans="6:24" x14ac:dyDescent="0.35">
      <c r="X290" t="s">
        <v>10</v>
      </c>
    </row>
    <row r="291" spans="6:24" x14ac:dyDescent="0.35">
      <c r="F291" t="s">
        <v>10</v>
      </c>
      <c r="X291" t="s">
        <v>180</v>
      </c>
    </row>
    <row r="292" spans="6:24" x14ac:dyDescent="0.35">
      <c r="F292">
        <v>2.1999999999999999E-5</v>
      </c>
      <c r="X292">
        <v>2.2662999999999999E-2</v>
      </c>
    </row>
    <row r="293" spans="6:24" x14ac:dyDescent="0.35">
      <c r="F293">
        <v>1.6509999999999999E-3</v>
      </c>
      <c r="X293">
        <v>1.3860000000000001E-3</v>
      </c>
    </row>
    <row r="294" spans="6:24" x14ac:dyDescent="0.35">
      <c r="F294" t="s">
        <v>34</v>
      </c>
      <c r="X294" t="s">
        <v>196</v>
      </c>
    </row>
    <row r="296" spans="6:24" x14ac:dyDescent="0.35">
      <c r="F296" t="s">
        <v>1</v>
      </c>
      <c r="X296" t="s">
        <v>178</v>
      </c>
    </row>
    <row r="297" spans="6:24" x14ac:dyDescent="0.35">
      <c r="F297" t="s">
        <v>2</v>
      </c>
      <c r="X297" t="s">
        <v>2</v>
      </c>
    </row>
    <row r="298" spans="6:24" x14ac:dyDescent="0.35">
      <c r="F298" t="s">
        <v>22</v>
      </c>
      <c r="X298" t="s">
        <v>4</v>
      </c>
    </row>
    <row r="299" spans="6:24" x14ac:dyDescent="0.35">
      <c r="F299" t="s">
        <v>4</v>
      </c>
      <c r="X299" t="s">
        <v>5</v>
      </c>
    </row>
    <row r="300" spans="6:24" x14ac:dyDescent="0.35">
      <c r="F300" t="s">
        <v>5</v>
      </c>
    </row>
    <row r="301" spans="6:24" x14ac:dyDescent="0.35">
      <c r="X301" t="s">
        <v>6</v>
      </c>
    </row>
    <row r="302" spans="6:24" x14ac:dyDescent="0.35">
      <c r="F302" t="s">
        <v>6</v>
      </c>
      <c r="X302" t="s">
        <v>179</v>
      </c>
    </row>
    <row r="303" spans="6:24" x14ac:dyDescent="0.35">
      <c r="F303" t="s">
        <v>7</v>
      </c>
      <c r="X303">
        <v>24</v>
      </c>
    </row>
    <row r="304" spans="6:24" x14ac:dyDescent="0.35">
      <c r="F304">
        <v>24</v>
      </c>
      <c r="X304">
        <v>94200</v>
      </c>
    </row>
    <row r="305" spans="6:24" x14ac:dyDescent="0.35">
      <c r="F305">
        <v>97272</v>
      </c>
      <c r="X305" t="s">
        <v>8</v>
      </c>
    </row>
    <row r="306" spans="6:24" x14ac:dyDescent="0.35">
      <c r="F306" t="s">
        <v>35</v>
      </c>
      <c r="X306" t="s">
        <v>9</v>
      </c>
    </row>
    <row r="307" spans="6:24" x14ac:dyDescent="0.35">
      <c r="F307" t="s">
        <v>33</v>
      </c>
    </row>
    <row r="308" spans="6:24" x14ac:dyDescent="0.35">
      <c r="X308" t="s">
        <v>10</v>
      </c>
    </row>
    <row r="309" spans="6:24" x14ac:dyDescent="0.35">
      <c r="F309" t="s">
        <v>10</v>
      </c>
      <c r="X309" t="s">
        <v>180</v>
      </c>
    </row>
    <row r="310" spans="6:24" x14ac:dyDescent="0.35">
      <c r="F310">
        <v>2.0999999999999999E-5</v>
      </c>
      <c r="X310">
        <v>1.6740000000000001E-2</v>
      </c>
    </row>
    <row r="311" spans="6:24" x14ac:dyDescent="0.35">
      <c r="F311">
        <v>2.7729999999999999E-3</v>
      </c>
      <c r="X311">
        <v>1.1379999999999999E-3</v>
      </c>
    </row>
    <row r="312" spans="6:24" x14ac:dyDescent="0.35">
      <c r="F312" t="s">
        <v>36</v>
      </c>
      <c r="X312" t="s">
        <v>197</v>
      </c>
    </row>
    <row r="314" spans="6:24" x14ac:dyDescent="0.35">
      <c r="F314" t="s">
        <v>1</v>
      </c>
      <c r="X314" t="s">
        <v>178</v>
      </c>
    </row>
    <row r="315" spans="6:24" x14ac:dyDescent="0.35">
      <c r="F315" t="s">
        <v>2</v>
      </c>
      <c r="X315" t="s">
        <v>2</v>
      </c>
    </row>
    <row r="316" spans="6:24" x14ac:dyDescent="0.35">
      <c r="F316" t="s">
        <v>22</v>
      </c>
      <c r="X316" t="s">
        <v>4</v>
      </c>
    </row>
    <row r="317" spans="6:24" x14ac:dyDescent="0.35">
      <c r="F317" t="s">
        <v>4</v>
      </c>
      <c r="X317" t="s">
        <v>5</v>
      </c>
    </row>
    <row r="318" spans="6:24" x14ac:dyDescent="0.35">
      <c r="F318" t="s">
        <v>5</v>
      </c>
    </row>
    <row r="319" spans="6:24" x14ac:dyDescent="0.35">
      <c r="X319" t="s">
        <v>6</v>
      </c>
    </row>
    <row r="320" spans="6:24" x14ac:dyDescent="0.35">
      <c r="F320" t="s">
        <v>6</v>
      </c>
      <c r="X320" t="s">
        <v>179</v>
      </c>
    </row>
    <row r="321" spans="6:24" x14ac:dyDescent="0.35">
      <c r="F321" t="s">
        <v>7</v>
      </c>
      <c r="X321">
        <v>24</v>
      </c>
    </row>
    <row r="322" spans="6:24" x14ac:dyDescent="0.35">
      <c r="F322">
        <v>28</v>
      </c>
      <c r="X322">
        <v>94200</v>
      </c>
    </row>
    <row r="323" spans="6:24" x14ac:dyDescent="0.35">
      <c r="F323">
        <v>95699</v>
      </c>
      <c r="X323" t="s">
        <v>8</v>
      </c>
    </row>
    <row r="324" spans="6:24" x14ac:dyDescent="0.35">
      <c r="F324" t="s">
        <v>37</v>
      </c>
      <c r="X324" t="s">
        <v>9</v>
      </c>
    </row>
    <row r="325" spans="6:24" x14ac:dyDescent="0.35">
      <c r="F325" t="s">
        <v>9</v>
      </c>
    </row>
    <row r="326" spans="6:24" x14ac:dyDescent="0.35">
      <c r="X326" t="s">
        <v>10</v>
      </c>
    </row>
    <row r="327" spans="6:24" x14ac:dyDescent="0.35">
      <c r="F327" t="s">
        <v>10</v>
      </c>
      <c r="X327" t="s">
        <v>180</v>
      </c>
    </row>
    <row r="328" spans="6:24" x14ac:dyDescent="0.35">
      <c r="F328">
        <v>3.0000000000000001E-5</v>
      </c>
      <c r="X328">
        <v>1.2886E-2</v>
      </c>
    </row>
    <row r="329" spans="6:24" x14ac:dyDescent="0.35">
      <c r="F329">
        <v>1.549E-3</v>
      </c>
      <c r="X329">
        <v>1.3810000000000001E-3</v>
      </c>
    </row>
    <row r="330" spans="6:24" x14ac:dyDescent="0.35">
      <c r="F330" t="s">
        <v>38</v>
      </c>
      <c r="X330" t="s">
        <v>198</v>
      </c>
    </row>
    <row r="332" spans="6:24" x14ac:dyDescent="0.35">
      <c r="F332" t="s">
        <v>1</v>
      </c>
      <c r="X332" t="s">
        <v>178</v>
      </c>
    </row>
    <row r="333" spans="6:24" x14ac:dyDescent="0.35">
      <c r="F333" t="s">
        <v>2</v>
      </c>
      <c r="X333" t="s">
        <v>2</v>
      </c>
    </row>
    <row r="334" spans="6:24" x14ac:dyDescent="0.35">
      <c r="F334" t="s">
        <v>22</v>
      </c>
      <c r="X334" t="s">
        <v>4</v>
      </c>
    </row>
    <row r="335" spans="6:24" x14ac:dyDescent="0.35">
      <c r="F335" t="s">
        <v>4</v>
      </c>
      <c r="X335" t="s">
        <v>5</v>
      </c>
    </row>
    <row r="336" spans="6:24" x14ac:dyDescent="0.35">
      <c r="F336" t="s">
        <v>5</v>
      </c>
    </row>
    <row r="337" spans="6:24" x14ac:dyDescent="0.35">
      <c r="X337" t="s">
        <v>6</v>
      </c>
    </row>
    <row r="338" spans="6:24" x14ac:dyDescent="0.35">
      <c r="F338" t="s">
        <v>6</v>
      </c>
      <c r="X338" t="s">
        <v>179</v>
      </c>
    </row>
    <row r="339" spans="6:24" x14ac:dyDescent="0.35">
      <c r="F339" t="s">
        <v>7</v>
      </c>
      <c r="X339">
        <v>24</v>
      </c>
    </row>
    <row r="340" spans="6:24" x14ac:dyDescent="0.35">
      <c r="F340">
        <v>26</v>
      </c>
      <c r="X340">
        <v>94200</v>
      </c>
    </row>
    <row r="341" spans="6:24" x14ac:dyDescent="0.35">
      <c r="F341">
        <v>99071</v>
      </c>
      <c r="X341" t="s">
        <v>8</v>
      </c>
    </row>
    <row r="342" spans="6:24" x14ac:dyDescent="0.35">
      <c r="F342" t="s">
        <v>39</v>
      </c>
      <c r="X342" t="s">
        <v>9</v>
      </c>
    </row>
    <row r="343" spans="6:24" x14ac:dyDescent="0.35">
      <c r="F343" t="s">
        <v>9</v>
      </c>
    </row>
    <row r="344" spans="6:24" x14ac:dyDescent="0.35">
      <c r="X344" t="s">
        <v>10</v>
      </c>
    </row>
    <row r="345" spans="6:24" x14ac:dyDescent="0.35">
      <c r="F345" t="s">
        <v>10</v>
      </c>
      <c r="X345" t="s">
        <v>180</v>
      </c>
    </row>
    <row r="346" spans="6:24" x14ac:dyDescent="0.35">
      <c r="F346">
        <v>1.9000000000000001E-5</v>
      </c>
      <c r="X346">
        <v>1.6499E-2</v>
      </c>
    </row>
    <row r="347" spans="6:24" x14ac:dyDescent="0.35">
      <c r="F347">
        <v>1.469E-3</v>
      </c>
      <c r="X347">
        <v>1.2509999999999999E-3</v>
      </c>
    </row>
    <row r="348" spans="6:24" x14ac:dyDescent="0.35">
      <c r="F348" t="s">
        <v>237</v>
      </c>
      <c r="X348" t="s">
        <v>199</v>
      </c>
    </row>
    <row r="350" spans="6:24" x14ac:dyDescent="0.35">
      <c r="F350" t="s">
        <v>1</v>
      </c>
      <c r="X350" t="s">
        <v>178</v>
      </c>
    </row>
    <row r="351" spans="6:24" x14ac:dyDescent="0.35">
      <c r="F351" t="s">
        <v>2</v>
      </c>
      <c r="X351" t="s">
        <v>2</v>
      </c>
    </row>
    <row r="352" spans="6:24" x14ac:dyDescent="0.35">
      <c r="F352" t="s">
        <v>22</v>
      </c>
      <c r="X352" t="s">
        <v>4</v>
      </c>
    </row>
    <row r="353" spans="6:24" x14ac:dyDescent="0.35">
      <c r="F353" t="s">
        <v>4</v>
      </c>
      <c r="X353" t="s">
        <v>5</v>
      </c>
    </row>
    <row r="354" spans="6:24" x14ac:dyDescent="0.35">
      <c r="F354" t="s">
        <v>5</v>
      </c>
    </row>
    <row r="355" spans="6:24" x14ac:dyDescent="0.35">
      <c r="X355" t="s">
        <v>6</v>
      </c>
    </row>
    <row r="356" spans="6:24" x14ac:dyDescent="0.35">
      <c r="F356" t="s">
        <v>6</v>
      </c>
      <c r="X356" t="s">
        <v>179</v>
      </c>
    </row>
    <row r="357" spans="6:24" x14ac:dyDescent="0.35">
      <c r="F357" t="s">
        <v>7</v>
      </c>
      <c r="X357">
        <v>24</v>
      </c>
    </row>
    <row r="358" spans="6:24" x14ac:dyDescent="0.35">
      <c r="F358">
        <v>24</v>
      </c>
      <c r="X358">
        <v>94200</v>
      </c>
    </row>
    <row r="359" spans="6:24" x14ac:dyDescent="0.35">
      <c r="F359">
        <v>92108</v>
      </c>
      <c r="X359" t="s">
        <v>8</v>
      </c>
    </row>
    <row r="360" spans="6:24" x14ac:dyDescent="0.35">
      <c r="F360" t="s">
        <v>40</v>
      </c>
      <c r="X360" t="s">
        <v>9</v>
      </c>
    </row>
    <row r="361" spans="6:24" x14ac:dyDescent="0.35">
      <c r="F361" t="s">
        <v>9</v>
      </c>
    </row>
    <row r="362" spans="6:24" x14ac:dyDescent="0.35">
      <c r="X362" t="s">
        <v>10</v>
      </c>
    </row>
    <row r="363" spans="6:24" x14ac:dyDescent="0.35">
      <c r="F363" t="s">
        <v>10</v>
      </c>
      <c r="X363" t="s">
        <v>180</v>
      </c>
    </row>
    <row r="364" spans="6:24" x14ac:dyDescent="0.35">
      <c r="F364">
        <v>3.3000000000000003E-5</v>
      </c>
      <c r="X364">
        <v>1.6726000000000001E-2</v>
      </c>
    </row>
    <row r="365" spans="6:24" x14ac:dyDescent="0.35">
      <c r="F365">
        <v>3.7109999999999999E-3</v>
      </c>
      <c r="X365">
        <v>1.328E-3</v>
      </c>
    </row>
    <row r="366" spans="6:24" x14ac:dyDescent="0.35">
      <c r="F366" t="s">
        <v>41</v>
      </c>
      <c r="X366" t="s">
        <v>200</v>
      </c>
    </row>
    <row r="367" spans="6:24" x14ac:dyDescent="0.35">
      <c r="F367" t="s">
        <v>42</v>
      </c>
      <c r="X367" t="s">
        <v>201</v>
      </c>
    </row>
    <row r="369" spans="6:24" x14ac:dyDescent="0.35">
      <c r="F369" t="s">
        <v>1</v>
      </c>
      <c r="X369" t="s">
        <v>178</v>
      </c>
    </row>
    <row r="370" spans="6:24" x14ac:dyDescent="0.35">
      <c r="F370" t="s">
        <v>2</v>
      </c>
      <c r="X370" t="s">
        <v>2</v>
      </c>
    </row>
    <row r="371" spans="6:24" x14ac:dyDescent="0.35">
      <c r="F371" t="s">
        <v>43</v>
      </c>
      <c r="X371" t="s">
        <v>4</v>
      </c>
    </row>
    <row r="372" spans="6:24" x14ac:dyDescent="0.35">
      <c r="F372" t="s">
        <v>4</v>
      </c>
      <c r="X372" t="s">
        <v>5</v>
      </c>
    </row>
    <row r="373" spans="6:24" x14ac:dyDescent="0.35">
      <c r="F373" t="s">
        <v>5</v>
      </c>
    </row>
    <row r="374" spans="6:24" x14ac:dyDescent="0.35">
      <c r="X374" t="s">
        <v>6</v>
      </c>
    </row>
    <row r="375" spans="6:24" x14ac:dyDescent="0.35">
      <c r="F375" t="s">
        <v>6</v>
      </c>
      <c r="X375" t="s">
        <v>179</v>
      </c>
    </row>
    <row r="376" spans="6:24" x14ac:dyDescent="0.35">
      <c r="F376" t="s">
        <v>7</v>
      </c>
      <c r="X376">
        <v>40</v>
      </c>
    </row>
    <row r="377" spans="6:24" x14ac:dyDescent="0.35">
      <c r="F377">
        <v>24</v>
      </c>
      <c r="X377">
        <v>111475</v>
      </c>
    </row>
    <row r="378" spans="6:24" x14ac:dyDescent="0.35">
      <c r="F378">
        <v>82275</v>
      </c>
      <c r="X378" t="s">
        <v>202</v>
      </c>
    </row>
    <row r="379" spans="6:24" x14ac:dyDescent="0.35">
      <c r="F379" t="s">
        <v>44</v>
      </c>
      <c r="X379" t="s">
        <v>203</v>
      </c>
    </row>
    <row r="380" spans="6:24" x14ac:dyDescent="0.35">
      <c r="F380" t="s">
        <v>9</v>
      </c>
    </row>
    <row r="381" spans="6:24" x14ac:dyDescent="0.35">
      <c r="X381" t="s">
        <v>10</v>
      </c>
    </row>
    <row r="382" spans="6:24" x14ac:dyDescent="0.35">
      <c r="F382" t="s">
        <v>10</v>
      </c>
      <c r="X382" t="s">
        <v>204</v>
      </c>
    </row>
    <row r="383" spans="6:24" x14ac:dyDescent="0.35">
      <c r="F383">
        <v>2.5000000000000001E-5</v>
      </c>
      <c r="X383">
        <v>1.6150999999999999E-2</v>
      </c>
    </row>
    <row r="384" spans="6:24" x14ac:dyDescent="0.35">
      <c r="F384">
        <v>3.1340000000000001E-3</v>
      </c>
      <c r="X384">
        <v>7.5799999999999999E-4</v>
      </c>
    </row>
    <row r="385" spans="6:24" x14ac:dyDescent="0.35">
      <c r="F385" t="s">
        <v>45</v>
      </c>
      <c r="X385" t="s">
        <v>205</v>
      </c>
    </row>
    <row r="387" spans="6:24" x14ac:dyDescent="0.35">
      <c r="F387" t="s">
        <v>1</v>
      </c>
      <c r="X387" t="s">
        <v>178</v>
      </c>
    </row>
    <row r="388" spans="6:24" x14ac:dyDescent="0.35">
      <c r="F388" t="s">
        <v>2</v>
      </c>
      <c r="X388" t="s">
        <v>2</v>
      </c>
    </row>
    <row r="389" spans="6:24" x14ac:dyDescent="0.35">
      <c r="F389" t="s">
        <v>43</v>
      </c>
      <c r="X389" t="s">
        <v>4</v>
      </c>
    </row>
    <row r="390" spans="6:24" x14ac:dyDescent="0.35">
      <c r="F390" t="s">
        <v>4</v>
      </c>
      <c r="X390" t="s">
        <v>5</v>
      </c>
    </row>
    <row r="391" spans="6:24" x14ac:dyDescent="0.35">
      <c r="F391" t="s">
        <v>5</v>
      </c>
    </row>
    <row r="392" spans="6:24" x14ac:dyDescent="0.35">
      <c r="X392" t="s">
        <v>6</v>
      </c>
    </row>
    <row r="393" spans="6:24" x14ac:dyDescent="0.35">
      <c r="F393" t="s">
        <v>6</v>
      </c>
      <c r="X393" t="s">
        <v>179</v>
      </c>
    </row>
    <row r="394" spans="6:24" x14ac:dyDescent="0.35">
      <c r="F394" t="s">
        <v>7</v>
      </c>
      <c r="X394">
        <v>40</v>
      </c>
    </row>
    <row r="395" spans="6:24" x14ac:dyDescent="0.35">
      <c r="F395">
        <v>29</v>
      </c>
      <c r="X395">
        <v>111475</v>
      </c>
    </row>
    <row r="396" spans="6:24" x14ac:dyDescent="0.35">
      <c r="F396">
        <v>97173</v>
      </c>
      <c r="X396" t="s">
        <v>202</v>
      </c>
    </row>
    <row r="397" spans="6:24" x14ac:dyDescent="0.35">
      <c r="F397" t="s">
        <v>46</v>
      </c>
      <c r="X397" t="s">
        <v>203</v>
      </c>
    </row>
    <row r="398" spans="6:24" x14ac:dyDescent="0.35">
      <c r="F398" t="s">
        <v>9</v>
      </c>
    </row>
    <row r="399" spans="6:24" x14ac:dyDescent="0.35">
      <c r="X399" t="s">
        <v>10</v>
      </c>
    </row>
    <row r="400" spans="6:24" x14ac:dyDescent="0.35">
      <c r="F400" t="s">
        <v>10</v>
      </c>
      <c r="X400" t="s">
        <v>204</v>
      </c>
    </row>
    <row r="401" spans="6:24" x14ac:dyDescent="0.35">
      <c r="F401">
        <v>2.6999999999999999E-5</v>
      </c>
      <c r="X401">
        <v>1.9779999999999999E-2</v>
      </c>
    </row>
    <row r="402" spans="6:24" x14ac:dyDescent="0.35">
      <c r="F402">
        <v>5.3439999999999998E-3</v>
      </c>
      <c r="X402">
        <v>9.4399999999999996E-4</v>
      </c>
    </row>
    <row r="403" spans="6:24" x14ac:dyDescent="0.35">
      <c r="F403" t="s">
        <v>47</v>
      </c>
      <c r="X403" t="s">
        <v>206</v>
      </c>
    </row>
    <row r="405" spans="6:24" x14ac:dyDescent="0.35">
      <c r="F405" t="s">
        <v>1</v>
      </c>
      <c r="X405" t="s">
        <v>178</v>
      </c>
    </row>
    <row r="406" spans="6:24" x14ac:dyDescent="0.35">
      <c r="F406" t="s">
        <v>2</v>
      </c>
      <c r="X406" t="s">
        <v>2</v>
      </c>
    </row>
    <row r="407" spans="6:24" x14ac:dyDescent="0.35">
      <c r="F407" t="s">
        <v>43</v>
      </c>
      <c r="X407" t="s">
        <v>4</v>
      </c>
    </row>
    <row r="408" spans="6:24" x14ac:dyDescent="0.35">
      <c r="F408" t="s">
        <v>4</v>
      </c>
      <c r="X408" t="s">
        <v>5</v>
      </c>
    </row>
    <row r="409" spans="6:24" x14ac:dyDescent="0.35">
      <c r="F409" t="s">
        <v>5</v>
      </c>
    </row>
    <row r="410" spans="6:24" x14ac:dyDescent="0.35">
      <c r="X410" t="s">
        <v>6</v>
      </c>
    </row>
    <row r="411" spans="6:24" x14ac:dyDescent="0.35">
      <c r="F411" t="s">
        <v>6</v>
      </c>
      <c r="X411" t="s">
        <v>179</v>
      </c>
    </row>
    <row r="412" spans="6:24" x14ac:dyDescent="0.35">
      <c r="F412" t="s">
        <v>7</v>
      </c>
      <c r="X412">
        <v>40</v>
      </c>
    </row>
    <row r="413" spans="6:24" x14ac:dyDescent="0.35">
      <c r="F413">
        <v>23</v>
      </c>
      <c r="X413">
        <v>111475</v>
      </c>
    </row>
    <row r="414" spans="6:24" x14ac:dyDescent="0.35">
      <c r="F414">
        <v>96007</v>
      </c>
      <c r="X414" t="s">
        <v>202</v>
      </c>
    </row>
    <row r="415" spans="6:24" x14ac:dyDescent="0.35">
      <c r="F415" t="s">
        <v>48</v>
      </c>
      <c r="X415" t="s">
        <v>203</v>
      </c>
    </row>
    <row r="416" spans="6:24" x14ac:dyDescent="0.35">
      <c r="F416" t="s">
        <v>33</v>
      </c>
    </row>
    <row r="417" spans="6:24" x14ac:dyDescent="0.35">
      <c r="X417" t="s">
        <v>10</v>
      </c>
    </row>
    <row r="418" spans="6:24" x14ac:dyDescent="0.35">
      <c r="F418" t="s">
        <v>10</v>
      </c>
      <c r="X418" t="s">
        <v>204</v>
      </c>
    </row>
    <row r="419" spans="6:24" x14ac:dyDescent="0.35">
      <c r="F419">
        <v>2.5000000000000001E-5</v>
      </c>
      <c r="X419">
        <v>1.9095999999999998E-2</v>
      </c>
    </row>
    <row r="420" spans="6:24" x14ac:dyDescent="0.35">
      <c r="F420">
        <v>2.3540000000000002E-3</v>
      </c>
      <c r="X420">
        <v>8.5400000000000005E-4</v>
      </c>
    </row>
    <row r="421" spans="6:24" x14ac:dyDescent="0.35">
      <c r="F421" t="s">
        <v>49</v>
      </c>
      <c r="X421" t="s">
        <v>207</v>
      </c>
    </row>
    <row r="423" spans="6:24" x14ac:dyDescent="0.35">
      <c r="F423" t="s">
        <v>1</v>
      </c>
      <c r="X423" t="s">
        <v>178</v>
      </c>
    </row>
    <row r="424" spans="6:24" x14ac:dyDescent="0.35">
      <c r="F424" t="s">
        <v>2</v>
      </c>
      <c r="X424" t="s">
        <v>2</v>
      </c>
    </row>
    <row r="425" spans="6:24" x14ac:dyDescent="0.35">
      <c r="F425" t="s">
        <v>43</v>
      </c>
      <c r="X425" t="s">
        <v>4</v>
      </c>
    </row>
    <row r="426" spans="6:24" x14ac:dyDescent="0.35">
      <c r="F426" t="s">
        <v>4</v>
      </c>
      <c r="X426" t="s">
        <v>5</v>
      </c>
    </row>
    <row r="427" spans="6:24" x14ac:dyDescent="0.35">
      <c r="F427" t="s">
        <v>5</v>
      </c>
    </row>
    <row r="428" spans="6:24" x14ac:dyDescent="0.35">
      <c r="X428" t="s">
        <v>6</v>
      </c>
    </row>
    <row r="429" spans="6:24" x14ac:dyDescent="0.35">
      <c r="F429" t="s">
        <v>6</v>
      </c>
      <c r="X429" t="s">
        <v>179</v>
      </c>
    </row>
    <row r="430" spans="6:24" x14ac:dyDescent="0.35">
      <c r="F430" t="s">
        <v>7</v>
      </c>
      <c r="X430">
        <v>40</v>
      </c>
    </row>
    <row r="431" spans="6:24" x14ac:dyDescent="0.35">
      <c r="F431">
        <v>24</v>
      </c>
      <c r="X431">
        <v>111475</v>
      </c>
    </row>
    <row r="432" spans="6:24" x14ac:dyDescent="0.35">
      <c r="F432">
        <v>91948</v>
      </c>
      <c r="X432" t="s">
        <v>202</v>
      </c>
    </row>
    <row r="433" spans="6:24" x14ac:dyDescent="0.35">
      <c r="F433" t="s">
        <v>50</v>
      </c>
      <c r="X433" t="s">
        <v>203</v>
      </c>
    </row>
    <row r="434" spans="6:24" x14ac:dyDescent="0.35">
      <c r="F434" t="s">
        <v>9</v>
      </c>
    </row>
    <row r="435" spans="6:24" x14ac:dyDescent="0.35">
      <c r="X435" t="s">
        <v>10</v>
      </c>
    </row>
    <row r="436" spans="6:24" x14ac:dyDescent="0.35">
      <c r="F436" t="s">
        <v>10</v>
      </c>
      <c r="X436" t="s">
        <v>204</v>
      </c>
    </row>
    <row r="437" spans="6:24" x14ac:dyDescent="0.35">
      <c r="F437">
        <v>2.0999999999999999E-5</v>
      </c>
      <c r="X437">
        <v>1.7312000000000001E-2</v>
      </c>
    </row>
    <row r="438" spans="6:24" x14ac:dyDescent="0.35">
      <c r="F438">
        <v>4.1029999999999999E-3</v>
      </c>
      <c r="X438">
        <v>7.2999999999999996E-4</v>
      </c>
    </row>
    <row r="439" spans="6:24" x14ac:dyDescent="0.35">
      <c r="F439" t="s">
        <v>51</v>
      </c>
      <c r="X439" t="s">
        <v>208</v>
      </c>
    </row>
    <row r="441" spans="6:24" x14ac:dyDescent="0.35">
      <c r="F441" t="s">
        <v>1</v>
      </c>
      <c r="X441" t="s">
        <v>178</v>
      </c>
    </row>
    <row r="442" spans="6:24" x14ac:dyDescent="0.35">
      <c r="F442" t="s">
        <v>2</v>
      </c>
      <c r="X442" t="s">
        <v>2</v>
      </c>
    </row>
    <row r="443" spans="6:24" x14ac:dyDescent="0.35">
      <c r="F443" t="s">
        <v>43</v>
      </c>
      <c r="X443" t="s">
        <v>4</v>
      </c>
    </row>
    <row r="444" spans="6:24" x14ac:dyDescent="0.35">
      <c r="F444" t="s">
        <v>4</v>
      </c>
      <c r="X444" t="s">
        <v>5</v>
      </c>
    </row>
    <row r="445" spans="6:24" x14ac:dyDescent="0.35">
      <c r="F445" t="s">
        <v>5</v>
      </c>
    </row>
    <row r="446" spans="6:24" x14ac:dyDescent="0.35">
      <c r="X446" t="s">
        <v>6</v>
      </c>
    </row>
    <row r="447" spans="6:24" x14ac:dyDescent="0.35">
      <c r="F447" t="s">
        <v>6</v>
      </c>
      <c r="X447" t="s">
        <v>179</v>
      </c>
    </row>
    <row r="448" spans="6:24" x14ac:dyDescent="0.35">
      <c r="F448" t="s">
        <v>7</v>
      </c>
      <c r="X448">
        <v>40</v>
      </c>
    </row>
    <row r="449" spans="6:24" x14ac:dyDescent="0.35">
      <c r="F449">
        <v>25</v>
      </c>
      <c r="X449">
        <v>111475</v>
      </c>
    </row>
    <row r="450" spans="6:24" x14ac:dyDescent="0.35">
      <c r="F450">
        <v>90822</v>
      </c>
      <c r="X450" t="s">
        <v>202</v>
      </c>
    </row>
    <row r="451" spans="6:24" x14ac:dyDescent="0.35">
      <c r="F451" t="s">
        <v>52</v>
      </c>
      <c r="X451" t="s">
        <v>203</v>
      </c>
    </row>
    <row r="452" spans="6:24" x14ac:dyDescent="0.35">
      <c r="F452" t="s">
        <v>9</v>
      </c>
    </row>
    <row r="453" spans="6:24" x14ac:dyDescent="0.35">
      <c r="X453" t="s">
        <v>10</v>
      </c>
    </row>
    <row r="454" spans="6:24" x14ac:dyDescent="0.35">
      <c r="F454" t="s">
        <v>10</v>
      </c>
      <c r="X454" t="s">
        <v>204</v>
      </c>
    </row>
    <row r="455" spans="6:24" x14ac:dyDescent="0.35">
      <c r="F455">
        <v>1.8E-5</v>
      </c>
      <c r="X455">
        <v>1.9800999999999999E-2</v>
      </c>
    </row>
    <row r="456" spans="6:24" x14ac:dyDescent="0.35">
      <c r="F456">
        <v>1.4779999999999999E-3</v>
      </c>
      <c r="X456">
        <v>7.2900000000000005E-4</v>
      </c>
    </row>
    <row r="457" spans="6:24" x14ac:dyDescent="0.35">
      <c r="F457" t="s">
        <v>53</v>
      </c>
      <c r="X457" t="s">
        <v>209</v>
      </c>
    </row>
    <row r="459" spans="6:24" x14ac:dyDescent="0.35">
      <c r="F459" t="s">
        <v>1</v>
      </c>
      <c r="X459" t="s">
        <v>178</v>
      </c>
    </row>
    <row r="460" spans="6:24" x14ac:dyDescent="0.35">
      <c r="F460" t="s">
        <v>2</v>
      </c>
      <c r="X460" t="s">
        <v>2</v>
      </c>
    </row>
    <row r="461" spans="6:24" x14ac:dyDescent="0.35">
      <c r="F461" t="s">
        <v>43</v>
      </c>
      <c r="X461" t="s">
        <v>4</v>
      </c>
    </row>
    <row r="462" spans="6:24" x14ac:dyDescent="0.35">
      <c r="F462" t="s">
        <v>4</v>
      </c>
      <c r="X462" t="s">
        <v>5</v>
      </c>
    </row>
    <row r="463" spans="6:24" x14ac:dyDescent="0.35">
      <c r="F463" t="s">
        <v>5</v>
      </c>
    </row>
    <row r="464" spans="6:24" x14ac:dyDescent="0.35">
      <c r="X464" t="s">
        <v>6</v>
      </c>
    </row>
    <row r="465" spans="6:24" x14ac:dyDescent="0.35">
      <c r="F465" t="s">
        <v>6</v>
      </c>
      <c r="X465" t="s">
        <v>179</v>
      </c>
    </row>
    <row r="466" spans="6:24" x14ac:dyDescent="0.35">
      <c r="F466" t="s">
        <v>7</v>
      </c>
      <c r="X466">
        <v>40</v>
      </c>
    </row>
    <row r="467" spans="6:24" x14ac:dyDescent="0.35">
      <c r="F467">
        <v>26</v>
      </c>
      <c r="X467">
        <v>111475</v>
      </c>
    </row>
    <row r="468" spans="6:24" x14ac:dyDescent="0.35">
      <c r="F468">
        <v>92625</v>
      </c>
      <c r="X468" t="s">
        <v>202</v>
      </c>
    </row>
    <row r="469" spans="6:24" x14ac:dyDescent="0.35">
      <c r="F469" t="s">
        <v>54</v>
      </c>
      <c r="X469" t="s">
        <v>203</v>
      </c>
    </row>
    <row r="470" spans="6:24" x14ac:dyDescent="0.35">
      <c r="F470" t="s">
        <v>9</v>
      </c>
    </row>
    <row r="471" spans="6:24" x14ac:dyDescent="0.35">
      <c r="X471" t="s">
        <v>10</v>
      </c>
    </row>
    <row r="472" spans="6:24" x14ac:dyDescent="0.35">
      <c r="F472" t="s">
        <v>10</v>
      </c>
      <c r="X472" t="s">
        <v>204</v>
      </c>
    </row>
    <row r="473" spans="6:24" x14ac:dyDescent="0.35">
      <c r="F473">
        <v>1.7E-5</v>
      </c>
      <c r="X473">
        <v>1.7176E-2</v>
      </c>
    </row>
    <row r="474" spans="6:24" x14ac:dyDescent="0.35">
      <c r="F474">
        <v>1.372E-3</v>
      </c>
      <c r="X474">
        <v>7.3399999999999995E-4</v>
      </c>
    </row>
    <row r="475" spans="6:24" x14ac:dyDescent="0.35">
      <c r="F475" t="s">
        <v>55</v>
      </c>
      <c r="X475" t="s">
        <v>210</v>
      </c>
    </row>
    <row r="477" spans="6:24" x14ac:dyDescent="0.35">
      <c r="F477" t="s">
        <v>1</v>
      </c>
      <c r="X477" t="s">
        <v>178</v>
      </c>
    </row>
    <row r="478" spans="6:24" x14ac:dyDescent="0.35">
      <c r="F478" t="s">
        <v>2</v>
      </c>
      <c r="X478" t="s">
        <v>2</v>
      </c>
    </row>
    <row r="479" spans="6:24" x14ac:dyDescent="0.35">
      <c r="F479" t="s">
        <v>43</v>
      </c>
      <c r="X479" t="s">
        <v>4</v>
      </c>
    </row>
    <row r="480" spans="6:24" x14ac:dyDescent="0.35">
      <c r="F480" t="s">
        <v>4</v>
      </c>
      <c r="X480" t="s">
        <v>5</v>
      </c>
    </row>
    <row r="481" spans="6:24" x14ac:dyDescent="0.35">
      <c r="F481" t="s">
        <v>5</v>
      </c>
    </row>
    <row r="482" spans="6:24" x14ac:dyDescent="0.35">
      <c r="X482" t="s">
        <v>6</v>
      </c>
    </row>
    <row r="483" spans="6:24" x14ac:dyDescent="0.35">
      <c r="F483" t="s">
        <v>6</v>
      </c>
      <c r="X483" t="s">
        <v>179</v>
      </c>
    </row>
    <row r="484" spans="6:24" x14ac:dyDescent="0.35">
      <c r="F484" t="s">
        <v>7</v>
      </c>
      <c r="X484">
        <v>40</v>
      </c>
    </row>
    <row r="485" spans="6:24" x14ac:dyDescent="0.35">
      <c r="F485">
        <v>26</v>
      </c>
      <c r="X485">
        <v>111475</v>
      </c>
    </row>
    <row r="486" spans="6:24" x14ac:dyDescent="0.35">
      <c r="F486">
        <v>97138</v>
      </c>
      <c r="X486" t="s">
        <v>202</v>
      </c>
    </row>
    <row r="487" spans="6:24" x14ac:dyDescent="0.35">
      <c r="F487" t="s">
        <v>56</v>
      </c>
      <c r="X487" t="s">
        <v>203</v>
      </c>
    </row>
    <row r="488" spans="6:24" x14ac:dyDescent="0.35">
      <c r="F488" t="s">
        <v>9</v>
      </c>
    </row>
    <row r="489" spans="6:24" x14ac:dyDescent="0.35">
      <c r="X489" t="s">
        <v>10</v>
      </c>
    </row>
    <row r="490" spans="6:24" x14ac:dyDescent="0.35">
      <c r="F490" t="s">
        <v>10</v>
      </c>
      <c r="X490" t="s">
        <v>204</v>
      </c>
    </row>
    <row r="491" spans="6:24" x14ac:dyDescent="0.35">
      <c r="F491">
        <v>2.3E-5</v>
      </c>
      <c r="X491">
        <v>1.6053999999999999E-2</v>
      </c>
    </row>
    <row r="492" spans="6:24" x14ac:dyDescent="0.35">
      <c r="F492">
        <v>1.751E-3</v>
      </c>
      <c r="X492">
        <v>1.531E-3</v>
      </c>
    </row>
    <row r="493" spans="6:24" x14ac:dyDescent="0.35">
      <c r="F493" t="s">
        <v>57</v>
      </c>
      <c r="X493" t="s">
        <v>211</v>
      </c>
    </row>
    <row r="495" spans="6:24" x14ac:dyDescent="0.35">
      <c r="F495" t="s">
        <v>1</v>
      </c>
      <c r="X495" t="s">
        <v>178</v>
      </c>
    </row>
    <row r="496" spans="6:24" x14ac:dyDescent="0.35">
      <c r="F496" t="s">
        <v>2</v>
      </c>
      <c r="X496" t="s">
        <v>2</v>
      </c>
    </row>
    <row r="497" spans="6:24" x14ac:dyDescent="0.35">
      <c r="F497" t="s">
        <v>43</v>
      </c>
      <c r="X497" t="s">
        <v>4</v>
      </c>
    </row>
    <row r="498" spans="6:24" x14ac:dyDescent="0.35">
      <c r="F498" t="s">
        <v>4</v>
      </c>
      <c r="X498" t="s">
        <v>5</v>
      </c>
    </row>
    <row r="499" spans="6:24" x14ac:dyDescent="0.35">
      <c r="F499" t="s">
        <v>5</v>
      </c>
    </row>
    <row r="500" spans="6:24" x14ac:dyDescent="0.35">
      <c r="X500" t="s">
        <v>6</v>
      </c>
    </row>
    <row r="501" spans="6:24" x14ac:dyDescent="0.35">
      <c r="F501" t="s">
        <v>6</v>
      </c>
      <c r="X501" t="s">
        <v>179</v>
      </c>
    </row>
    <row r="502" spans="6:24" x14ac:dyDescent="0.35">
      <c r="F502" t="s">
        <v>7</v>
      </c>
      <c r="X502">
        <v>40</v>
      </c>
    </row>
    <row r="503" spans="6:24" x14ac:dyDescent="0.35">
      <c r="F503">
        <v>28</v>
      </c>
      <c r="X503">
        <v>111475</v>
      </c>
    </row>
    <row r="504" spans="6:24" x14ac:dyDescent="0.35">
      <c r="F504">
        <v>92243</v>
      </c>
      <c r="X504" t="s">
        <v>202</v>
      </c>
    </row>
    <row r="505" spans="6:24" x14ac:dyDescent="0.35">
      <c r="F505" t="s">
        <v>58</v>
      </c>
      <c r="X505" t="s">
        <v>203</v>
      </c>
    </row>
    <row r="506" spans="6:24" x14ac:dyDescent="0.35">
      <c r="F506" t="s">
        <v>9</v>
      </c>
    </row>
    <row r="507" spans="6:24" x14ac:dyDescent="0.35">
      <c r="X507" t="s">
        <v>10</v>
      </c>
    </row>
    <row r="508" spans="6:24" x14ac:dyDescent="0.35">
      <c r="F508" t="s">
        <v>10</v>
      </c>
      <c r="X508" t="s">
        <v>204</v>
      </c>
    </row>
    <row r="509" spans="6:24" x14ac:dyDescent="0.35">
      <c r="F509">
        <v>2.0999999999999999E-5</v>
      </c>
      <c r="X509">
        <v>1.8393E-2</v>
      </c>
    </row>
    <row r="510" spans="6:24" x14ac:dyDescent="0.35">
      <c r="F510">
        <v>1.671E-3</v>
      </c>
      <c r="X510">
        <v>8.7299999999999997E-4</v>
      </c>
    </row>
    <row r="511" spans="6:24" x14ac:dyDescent="0.35">
      <c r="F511" t="s">
        <v>59</v>
      </c>
      <c r="X511" t="s">
        <v>212</v>
      </c>
    </row>
    <row r="513" spans="6:24" x14ac:dyDescent="0.35">
      <c r="F513" t="s">
        <v>1</v>
      </c>
      <c r="X513" t="s">
        <v>178</v>
      </c>
    </row>
    <row r="514" spans="6:24" x14ac:dyDescent="0.35">
      <c r="F514" t="s">
        <v>2</v>
      </c>
      <c r="X514" t="s">
        <v>2</v>
      </c>
    </row>
    <row r="515" spans="6:24" x14ac:dyDescent="0.35">
      <c r="F515" t="s">
        <v>43</v>
      </c>
      <c r="X515" t="s">
        <v>4</v>
      </c>
    </row>
    <row r="516" spans="6:24" x14ac:dyDescent="0.35">
      <c r="F516" t="s">
        <v>4</v>
      </c>
      <c r="X516" t="s">
        <v>5</v>
      </c>
    </row>
    <row r="517" spans="6:24" x14ac:dyDescent="0.35">
      <c r="F517" t="s">
        <v>5</v>
      </c>
    </row>
    <row r="518" spans="6:24" x14ac:dyDescent="0.35">
      <c r="X518" t="s">
        <v>6</v>
      </c>
    </row>
    <row r="519" spans="6:24" x14ac:dyDescent="0.35">
      <c r="F519" t="s">
        <v>6</v>
      </c>
      <c r="X519" t="s">
        <v>179</v>
      </c>
    </row>
    <row r="520" spans="6:24" x14ac:dyDescent="0.35">
      <c r="F520" t="s">
        <v>7</v>
      </c>
      <c r="X520">
        <v>40</v>
      </c>
    </row>
    <row r="521" spans="6:24" x14ac:dyDescent="0.35">
      <c r="F521">
        <v>27</v>
      </c>
      <c r="X521">
        <v>111475</v>
      </c>
    </row>
    <row r="522" spans="6:24" x14ac:dyDescent="0.35">
      <c r="F522">
        <v>101743</v>
      </c>
      <c r="X522" t="s">
        <v>202</v>
      </c>
    </row>
    <row r="523" spans="6:24" x14ac:dyDescent="0.35">
      <c r="F523" t="s">
        <v>60</v>
      </c>
      <c r="X523" t="s">
        <v>203</v>
      </c>
    </row>
    <row r="524" spans="6:24" x14ac:dyDescent="0.35">
      <c r="F524" t="s">
        <v>9</v>
      </c>
    </row>
    <row r="525" spans="6:24" x14ac:dyDescent="0.35">
      <c r="X525" t="s">
        <v>10</v>
      </c>
    </row>
    <row r="526" spans="6:24" x14ac:dyDescent="0.35">
      <c r="F526" t="s">
        <v>10</v>
      </c>
      <c r="X526" t="s">
        <v>204</v>
      </c>
    </row>
    <row r="527" spans="6:24" x14ac:dyDescent="0.35">
      <c r="F527">
        <v>1.9000000000000001E-5</v>
      </c>
      <c r="X527">
        <v>1.6445999999999999E-2</v>
      </c>
    </row>
    <row r="528" spans="6:24" x14ac:dyDescent="0.35">
      <c r="F528">
        <v>1.6100000000000001E-3</v>
      </c>
      <c r="X528">
        <v>7.2900000000000005E-4</v>
      </c>
    </row>
    <row r="529" spans="6:24" x14ac:dyDescent="0.35">
      <c r="F529" t="s">
        <v>61</v>
      </c>
      <c r="X529" t="s">
        <v>213</v>
      </c>
    </row>
    <row r="531" spans="6:24" x14ac:dyDescent="0.35">
      <c r="F531" t="s">
        <v>1</v>
      </c>
      <c r="X531" t="s">
        <v>178</v>
      </c>
    </row>
    <row r="532" spans="6:24" x14ac:dyDescent="0.35">
      <c r="F532" t="s">
        <v>2</v>
      </c>
      <c r="X532" t="s">
        <v>2</v>
      </c>
    </row>
    <row r="533" spans="6:24" x14ac:dyDescent="0.35">
      <c r="F533" t="s">
        <v>43</v>
      </c>
      <c r="X533" t="s">
        <v>4</v>
      </c>
    </row>
    <row r="534" spans="6:24" x14ac:dyDescent="0.35">
      <c r="F534" t="s">
        <v>4</v>
      </c>
      <c r="X534" t="s">
        <v>5</v>
      </c>
    </row>
    <row r="535" spans="6:24" x14ac:dyDescent="0.35">
      <c r="F535" t="s">
        <v>5</v>
      </c>
    </row>
    <row r="536" spans="6:24" x14ac:dyDescent="0.35">
      <c r="X536" t="s">
        <v>6</v>
      </c>
    </row>
    <row r="537" spans="6:24" x14ac:dyDescent="0.35">
      <c r="F537" t="s">
        <v>6</v>
      </c>
      <c r="X537" t="s">
        <v>179</v>
      </c>
    </row>
    <row r="538" spans="6:24" x14ac:dyDescent="0.35">
      <c r="F538" t="s">
        <v>7</v>
      </c>
      <c r="X538">
        <v>40</v>
      </c>
    </row>
    <row r="539" spans="6:24" x14ac:dyDescent="0.35">
      <c r="F539">
        <v>24</v>
      </c>
      <c r="X539">
        <v>111475</v>
      </c>
    </row>
    <row r="540" spans="6:24" x14ac:dyDescent="0.35">
      <c r="F540">
        <v>97134</v>
      </c>
      <c r="X540" t="s">
        <v>202</v>
      </c>
    </row>
    <row r="541" spans="6:24" x14ac:dyDescent="0.35">
      <c r="F541" t="s">
        <v>62</v>
      </c>
      <c r="X541" t="s">
        <v>203</v>
      </c>
    </row>
    <row r="542" spans="6:24" x14ac:dyDescent="0.35">
      <c r="F542" t="s">
        <v>33</v>
      </c>
    </row>
    <row r="543" spans="6:24" x14ac:dyDescent="0.35">
      <c r="X543" t="s">
        <v>10</v>
      </c>
    </row>
    <row r="544" spans="6:24" x14ac:dyDescent="0.35">
      <c r="F544" t="s">
        <v>10</v>
      </c>
      <c r="X544" t="s">
        <v>204</v>
      </c>
    </row>
    <row r="545" spans="6:24" x14ac:dyDescent="0.35">
      <c r="F545">
        <v>2.5999999999999998E-5</v>
      </c>
      <c r="X545">
        <v>1.6528000000000001E-2</v>
      </c>
    </row>
    <row r="546" spans="6:24" x14ac:dyDescent="0.35">
      <c r="F546">
        <v>2.3909999999999999E-3</v>
      </c>
      <c r="X546">
        <v>8.9499999999999996E-4</v>
      </c>
    </row>
    <row r="547" spans="6:24" x14ac:dyDescent="0.35">
      <c r="F547" t="s">
        <v>63</v>
      </c>
      <c r="X547" t="s">
        <v>214</v>
      </c>
    </row>
    <row r="548" spans="6:24" x14ac:dyDescent="0.35">
      <c r="F548" t="s">
        <v>64</v>
      </c>
      <c r="X548" t="s">
        <v>215</v>
      </c>
    </row>
    <row r="550" spans="6:24" x14ac:dyDescent="0.35">
      <c r="F550" t="s">
        <v>1</v>
      </c>
      <c r="X550" t="s">
        <v>178</v>
      </c>
    </row>
    <row r="551" spans="6:24" x14ac:dyDescent="0.35">
      <c r="F551" t="s">
        <v>2</v>
      </c>
      <c r="X551" t="s">
        <v>2</v>
      </c>
    </row>
    <row r="552" spans="6:24" x14ac:dyDescent="0.35">
      <c r="F552" t="s">
        <v>65</v>
      </c>
      <c r="X552" t="s">
        <v>4</v>
      </c>
    </row>
    <row r="553" spans="6:24" x14ac:dyDescent="0.35">
      <c r="F553" t="s">
        <v>4</v>
      </c>
      <c r="X553" t="s">
        <v>5</v>
      </c>
    </row>
    <row r="554" spans="6:24" x14ac:dyDescent="0.35">
      <c r="F554" t="s">
        <v>5</v>
      </c>
    </row>
    <row r="555" spans="6:24" x14ac:dyDescent="0.35">
      <c r="X555" t="s">
        <v>6</v>
      </c>
    </row>
    <row r="556" spans="6:24" x14ac:dyDescent="0.35">
      <c r="F556" t="s">
        <v>6</v>
      </c>
      <c r="X556" t="s">
        <v>179</v>
      </c>
    </row>
    <row r="557" spans="6:24" x14ac:dyDescent="0.35">
      <c r="F557" t="s">
        <v>7</v>
      </c>
      <c r="X557">
        <v>50</v>
      </c>
    </row>
    <row r="558" spans="6:24" x14ac:dyDescent="0.35">
      <c r="F558">
        <v>24</v>
      </c>
      <c r="X558">
        <v>128542</v>
      </c>
    </row>
    <row r="559" spans="6:24" x14ac:dyDescent="0.35">
      <c r="F559">
        <v>88601</v>
      </c>
      <c r="X559" t="s">
        <v>216</v>
      </c>
    </row>
    <row r="560" spans="6:24" x14ac:dyDescent="0.35">
      <c r="F560" t="s">
        <v>66</v>
      </c>
      <c r="X560" t="s">
        <v>203</v>
      </c>
    </row>
    <row r="561" spans="6:24" x14ac:dyDescent="0.35">
      <c r="F561" t="s">
        <v>9</v>
      </c>
    </row>
    <row r="562" spans="6:24" x14ac:dyDescent="0.35">
      <c r="X562" t="s">
        <v>10</v>
      </c>
    </row>
    <row r="563" spans="6:24" x14ac:dyDescent="0.35">
      <c r="F563" t="s">
        <v>10</v>
      </c>
      <c r="X563" t="s">
        <v>217</v>
      </c>
    </row>
    <row r="564" spans="6:24" x14ac:dyDescent="0.35">
      <c r="F564">
        <v>2.1999999999999999E-5</v>
      </c>
      <c r="X564">
        <v>2.2106000000000001E-2</v>
      </c>
    </row>
    <row r="565" spans="6:24" x14ac:dyDescent="0.35">
      <c r="F565">
        <v>1.3136999999999999E-2</v>
      </c>
      <c r="X565">
        <v>1.72E-3</v>
      </c>
    </row>
    <row r="566" spans="6:24" x14ac:dyDescent="0.35">
      <c r="F566" t="s">
        <v>67</v>
      </c>
      <c r="X566" t="s">
        <v>218</v>
      </c>
    </row>
    <row r="568" spans="6:24" x14ac:dyDescent="0.35">
      <c r="F568" t="s">
        <v>1</v>
      </c>
      <c r="X568" t="s">
        <v>178</v>
      </c>
    </row>
    <row r="569" spans="6:24" x14ac:dyDescent="0.35">
      <c r="F569" t="s">
        <v>2</v>
      </c>
      <c r="X569" t="s">
        <v>2</v>
      </c>
    </row>
    <row r="570" spans="6:24" x14ac:dyDescent="0.35">
      <c r="F570" t="s">
        <v>65</v>
      </c>
      <c r="X570" t="s">
        <v>4</v>
      </c>
    </row>
    <row r="571" spans="6:24" x14ac:dyDescent="0.35">
      <c r="F571" t="s">
        <v>4</v>
      </c>
      <c r="X571" t="s">
        <v>5</v>
      </c>
    </row>
    <row r="572" spans="6:24" x14ac:dyDescent="0.35">
      <c r="F572" t="s">
        <v>5</v>
      </c>
    </row>
    <row r="573" spans="6:24" x14ac:dyDescent="0.35">
      <c r="X573" t="s">
        <v>6</v>
      </c>
    </row>
    <row r="574" spans="6:24" x14ac:dyDescent="0.35">
      <c r="F574" t="s">
        <v>6</v>
      </c>
      <c r="X574" t="s">
        <v>179</v>
      </c>
    </row>
    <row r="575" spans="6:24" x14ac:dyDescent="0.35">
      <c r="F575" t="s">
        <v>7</v>
      </c>
      <c r="X575">
        <v>50</v>
      </c>
    </row>
    <row r="576" spans="6:24" x14ac:dyDescent="0.35">
      <c r="F576">
        <v>23</v>
      </c>
      <c r="X576">
        <v>128542</v>
      </c>
    </row>
    <row r="577" spans="6:24" x14ac:dyDescent="0.35">
      <c r="F577">
        <v>99887</v>
      </c>
      <c r="X577" t="s">
        <v>216</v>
      </c>
    </row>
    <row r="578" spans="6:24" x14ac:dyDescent="0.35">
      <c r="F578" t="s">
        <v>68</v>
      </c>
      <c r="X578" t="s">
        <v>203</v>
      </c>
    </row>
    <row r="579" spans="6:24" x14ac:dyDescent="0.35">
      <c r="F579" t="s">
        <v>33</v>
      </c>
    </row>
    <row r="580" spans="6:24" x14ac:dyDescent="0.35">
      <c r="X580" t="s">
        <v>10</v>
      </c>
    </row>
    <row r="581" spans="6:24" x14ac:dyDescent="0.35">
      <c r="F581" t="s">
        <v>10</v>
      </c>
      <c r="X581" t="s">
        <v>217</v>
      </c>
    </row>
    <row r="582" spans="6:24" x14ac:dyDescent="0.35">
      <c r="F582">
        <v>2.5999999999999998E-5</v>
      </c>
      <c r="X582">
        <v>1.9144000000000001E-2</v>
      </c>
    </row>
    <row r="583" spans="6:24" x14ac:dyDescent="0.35">
      <c r="F583">
        <v>2.8219999999999999E-3</v>
      </c>
      <c r="X583">
        <v>5.9199999999999997E-4</v>
      </c>
    </row>
    <row r="584" spans="6:24" x14ac:dyDescent="0.35">
      <c r="F584" t="s">
        <v>69</v>
      </c>
      <c r="X584" t="s">
        <v>219</v>
      </c>
    </row>
    <row r="586" spans="6:24" x14ac:dyDescent="0.35">
      <c r="F586" t="s">
        <v>1</v>
      </c>
      <c r="X586" t="s">
        <v>178</v>
      </c>
    </row>
    <row r="587" spans="6:24" x14ac:dyDescent="0.35">
      <c r="F587" t="s">
        <v>2</v>
      </c>
      <c r="X587" t="s">
        <v>2</v>
      </c>
    </row>
    <row r="588" spans="6:24" x14ac:dyDescent="0.35">
      <c r="F588" t="s">
        <v>65</v>
      </c>
      <c r="X588" t="s">
        <v>4</v>
      </c>
    </row>
    <row r="589" spans="6:24" x14ac:dyDescent="0.35">
      <c r="F589" t="s">
        <v>4</v>
      </c>
      <c r="X589" t="s">
        <v>5</v>
      </c>
    </row>
    <row r="590" spans="6:24" x14ac:dyDescent="0.35">
      <c r="F590" t="s">
        <v>5</v>
      </c>
    </row>
    <row r="591" spans="6:24" x14ac:dyDescent="0.35">
      <c r="X591" t="s">
        <v>6</v>
      </c>
    </row>
    <row r="592" spans="6:24" x14ac:dyDescent="0.35">
      <c r="F592" t="s">
        <v>6</v>
      </c>
      <c r="X592" t="s">
        <v>179</v>
      </c>
    </row>
    <row r="593" spans="6:24" x14ac:dyDescent="0.35">
      <c r="F593" t="s">
        <v>7</v>
      </c>
      <c r="X593">
        <v>50</v>
      </c>
    </row>
    <row r="594" spans="6:24" x14ac:dyDescent="0.35">
      <c r="F594">
        <v>25</v>
      </c>
      <c r="X594">
        <v>128542</v>
      </c>
    </row>
    <row r="595" spans="6:24" x14ac:dyDescent="0.35">
      <c r="F595">
        <v>92502</v>
      </c>
      <c r="X595" t="s">
        <v>216</v>
      </c>
    </row>
    <row r="596" spans="6:24" x14ac:dyDescent="0.35">
      <c r="F596" t="s">
        <v>70</v>
      </c>
      <c r="X596" t="s">
        <v>203</v>
      </c>
    </row>
    <row r="597" spans="6:24" x14ac:dyDescent="0.35">
      <c r="F597" t="s">
        <v>9</v>
      </c>
    </row>
    <row r="598" spans="6:24" x14ac:dyDescent="0.35">
      <c r="X598" t="s">
        <v>10</v>
      </c>
    </row>
    <row r="599" spans="6:24" x14ac:dyDescent="0.35">
      <c r="F599" t="s">
        <v>10</v>
      </c>
      <c r="X599" t="s">
        <v>217</v>
      </c>
    </row>
    <row r="600" spans="6:24" x14ac:dyDescent="0.35">
      <c r="F600">
        <v>2.6999999999999999E-5</v>
      </c>
      <c r="X600">
        <v>2.4485E-2</v>
      </c>
    </row>
    <row r="601" spans="6:24" x14ac:dyDescent="0.35">
      <c r="F601">
        <v>2.4121E-2</v>
      </c>
      <c r="X601">
        <v>1.7489999999999999E-3</v>
      </c>
    </row>
    <row r="602" spans="6:24" x14ac:dyDescent="0.35">
      <c r="F602" t="s">
        <v>71</v>
      </c>
      <c r="X602" t="s">
        <v>220</v>
      </c>
    </row>
    <row r="604" spans="6:24" x14ac:dyDescent="0.35">
      <c r="F604" t="s">
        <v>1</v>
      </c>
      <c r="X604" t="s">
        <v>178</v>
      </c>
    </row>
    <row r="605" spans="6:24" x14ac:dyDescent="0.35">
      <c r="F605" t="s">
        <v>2</v>
      </c>
      <c r="X605" t="s">
        <v>2</v>
      </c>
    </row>
    <row r="606" spans="6:24" x14ac:dyDescent="0.35">
      <c r="F606" t="s">
        <v>65</v>
      </c>
      <c r="X606" t="s">
        <v>4</v>
      </c>
    </row>
    <row r="607" spans="6:24" x14ac:dyDescent="0.35">
      <c r="F607" t="s">
        <v>4</v>
      </c>
      <c r="X607" t="s">
        <v>5</v>
      </c>
    </row>
    <row r="608" spans="6:24" x14ac:dyDescent="0.35">
      <c r="F608" t="s">
        <v>5</v>
      </c>
    </row>
    <row r="609" spans="6:24" x14ac:dyDescent="0.35">
      <c r="X609" t="s">
        <v>6</v>
      </c>
    </row>
    <row r="610" spans="6:24" x14ac:dyDescent="0.35">
      <c r="F610" t="s">
        <v>6</v>
      </c>
      <c r="X610" t="s">
        <v>179</v>
      </c>
    </row>
    <row r="611" spans="6:24" x14ac:dyDescent="0.35">
      <c r="F611" t="s">
        <v>7</v>
      </c>
      <c r="X611">
        <v>50</v>
      </c>
    </row>
    <row r="612" spans="6:24" x14ac:dyDescent="0.35">
      <c r="F612">
        <v>24</v>
      </c>
      <c r="X612">
        <v>128542</v>
      </c>
    </row>
    <row r="613" spans="6:24" x14ac:dyDescent="0.35">
      <c r="F613">
        <v>97984</v>
      </c>
      <c r="X613" t="s">
        <v>216</v>
      </c>
    </row>
    <row r="614" spans="6:24" x14ac:dyDescent="0.35">
      <c r="F614" t="s">
        <v>72</v>
      </c>
      <c r="X614" t="s">
        <v>203</v>
      </c>
    </row>
    <row r="615" spans="6:24" x14ac:dyDescent="0.35">
      <c r="F615" t="s">
        <v>33</v>
      </c>
    </row>
    <row r="616" spans="6:24" x14ac:dyDescent="0.35">
      <c r="X616" t="s">
        <v>10</v>
      </c>
    </row>
    <row r="617" spans="6:24" x14ac:dyDescent="0.35">
      <c r="F617" t="s">
        <v>10</v>
      </c>
      <c r="X617" t="s">
        <v>217</v>
      </c>
    </row>
    <row r="618" spans="6:24" x14ac:dyDescent="0.35">
      <c r="F618">
        <v>2.0999999999999999E-5</v>
      </c>
      <c r="X618">
        <v>2.1793E-2</v>
      </c>
    </row>
    <row r="619" spans="6:24" x14ac:dyDescent="0.35">
      <c r="F619">
        <v>2.9060000000000002E-3</v>
      </c>
      <c r="X619">
        <v>5.7300000000000005E-4</v>
      </c>
    </row>
    <row r="620" spans="6:24" x14ac:dyDescent="0.35">
      <c r="F620" t="s">
        <v>73</v>
      </c>
      <c r="X620" t="s">
        <v>221</v>
      </c>
    </row>
    <row r="622" spans="6:24" x14ac:dyDescent="0.35">
      <c r="F622" t="s">
        <v>1</v>
      </c>
      <c r="X622" t="s">
        <v>178</v>
      </c>
    </row>
    <row r="623" spans="6:24" x14ac:dyDescent="0.35">
      <c r="F623" t="s">
        <v>2</v>
      </c>
      <c r="X623" t="s">
        <v>2</v>
      </c>
    </row>
    <row r="624" spans="6:24" x14ac:dyDescent="0.35">
      <c r="F624" t="s">
        <v>65</v>
      </c>
      <c r="X624" t="s">
        <v>4</v>
      </c>
    </row>
    <row r="625" spans="6:24" x14ac:dyDescent="0.35">
      <c r="F625" t="s">
        <v>4</v>
      </c>
      <c r="X625" t="s">
        <v>5</v>
      </c>
    </row>
    <row r="626" spans="6:24" x14ac:dyDescent="0.35">
      <c r="F626" t="s">
        <v>5</v>
      </c>
    </row>
    <row r="627" spans="6:24" x14ac:dyDescent="0.35">
      <c r="X627" t="s">
        <v>6</v>
      </c>
    </row>
    <row r="628" spans="6:24" x14ac:dyDescent="0.35">
      <c r="F628" t="s">
        <v>6</v>
      </c>
      <c r="X628" t="s">
        <v>179</v>
      </c>
    </row>
    <row r="629" spans="6:24" x14ac:dyDescent="0.35">
      <c r="F629" t="s">
        <v>7</v>
      </c>
      <c r="X629">
        <v>50</v>
      </c>
    </row>
    <row r="630" spans="6:24" x14ac:dyDescent="0.35">
      <c r="F630">
        <v>27</v>
      </c>
      <c r="X630">
        <v>128542</v>
      </c>
    </row>
    <row r="631" spans="6:24" x14ac:dyDescent="0.35">
      <c r="F631">
        <v>97118</v>
      </c>
      <c r="X631" t="s">
        <v>216</v>
      </c>
    </row>
    <row r="632" spans="6:24" x14ac:dyDescent="0.35">
      <c r="F632" t="s">
        <v>74</v>
      </c>
      <c r="X632" t="s">
        <v>203</v>
      </c>
    </row>
    <row r="633" spans="6:24" x14ac:dyDescent="0.35">
      <c r="F633" t="s">
        <v>9</v>
      </c>
    </row>
    <row r="634" spans="6:24" x14ac:dyDescent="0.35">
      <c r="X634" t="s">
        <v>10</v>
      </c>
    </row>
    <row r="635" spans="6:24" x14ac:dyDescent="0.35">
      <c r="F635" t="s">
        <v>10</v>
      </c>
      <c r="X635" t="s">
        <v>217</v>
      </c>
    </row>
    <row r="636" spans="6:24" x14ac:dyDescent="0.35">
      <c r="F636">
        <v>2.1999999999999999E-5</v>
      </c>
      <c r="X636">
        <v>2.1004999999999999E-2</v>
      </c>
    </row>
    <row r="637" spans="6:24" x14ac:dyDescent="0.35">
      <c r="F637">
        <v>1.619E-3</v>
      </c>
      <c r="X637">
        <v>5.7700000000000004E-4</v>
      </c>
    </row>
    <row r="638" spans="6:24" x14ac:dyDescent="0.35">
      <c r="F638" t="s">
        <v>75</v>
      </c>
      <c r="X638" t="s">
        <v>222</v>
      </c>
    </row>
    <row r="640" spans="6:24" x14ac:dyDescent="0.35">
      <c r="F640" t="s">
        <v>1</v>
      </c>
      <c r="X640" t="s">
        <v>178</v>
      </c>
    </row>
    <row r="641" spans="6:24" x14ac:dyDescent="0.35">
      <c r="F641" t="s">
        <v>2</v>
      </c>
      <c r="X641" t="s">
        <v>2</v>
      </c>
    </row>
    <row r="642" spans="6:24" x14ac:dyDescent="0.35">
      <c r="F642" t="s">
        <v>65</v>
      </c>
      <c r="X642" t="s">
        <v>4</v>
      </c>
    </row>
    <row r="643" spans="6:24" x14ac:dyDescent="0.35">
      <c r="F643" t="s">
        <v>4</v>
      </c>
      <c r="X643" t="s">
        <v>5</v>
      </c>
    </row>
    <row r="644" spans="6:24" x14ac:dyDescent="0.35">
      <c r="F644" t="s">
        <v>5</v>
      </c>
    </row>
    <row r="645" spans="6:24" x14ac:dyDescent="0.35">
      <c r="X645" t="s">
        <v>6</v>
      </c>
    </row>
    <row r="646" spans="6:24" x14ac:dyDescent="0.35">
      <c r="F646" t="s">
        <v>6</v>
      </c>
      <c r="X646" t="s">
        <v>179</v>
      </c>
    </row>
    <row r="647" spans="6:24" x14ac:dyDescent="0.35">
      <c r="F647" t="s">
        <v>7</v>
      </c>
      <c r="X647">
        <v>50</v>
      </c>
    </row>
    <row r="648" spans="6:24" x14ac:dyDescent="0.35">
      <c r="F648">
        <v>27</v>
      </c>
      <c r="X648">
        <v>128542</v>
      </c>
    </row>
    <row r="649" spans="6:24" x14ac:dyDescent="0.35">
      <c r="F649">
        <v>87780</v>
      </c>
      <c r="X649" t="s">
        <v>216</v>
      </c>
    </row>
    <row r="650" spans="6:24" x14ac:dyDescent="0.35">
      <c r="F650" t="s">
        <v>76</v>
      </c>
      <c r="X650" t="s">
        <v>203</v>
      </c>
    </row>
    <row r="651" spans="6:24" x14ac:dyDescent="0.35">
      <c r="F651" t="s">
        <v>9</v>
      </c>
    </row>
    <row r="652" spans="6:24" x14ac:dyDescent="0.35">
      <c r="X652" t="s">
        <v>10</v>
      </c>
    </row>
    <row r="653" spans="6:24" x14ac:dyDescent="0.35">
      <c r="F653" t="s">
        <v>10</v>
      </c>
      <c r="X653" t="s">
        <v>217</v>
      </c>
    </row>
    <row r="654" spans="6:24" x14ac:dyDescent="0.35">
      <c r="F654">
        <v>1.8E-5</v>
      </c>
      <c r="X654">
        <v>1.7812000000000001E-2</v>
      </c>
    </row>
    <row r="655" spans="6:24" x14ac:dyDescent="0.35">
      <c r="F655">
        <v>3.7569999999999999E-3</v>
      </c>
      <c r="X655">
        <v>5.7600000000000001E-4</v>
      </c>
    </row>
    <row r="656" spans="6:24" x14ac:dyDescent="0.35">
      <c r="F656" t="s">
        <v>77</v>
      </c>
      <c r="X656" t="s">
        <v>223</v>
      </c>
    </row>
    <row r="658" spans="6:24" x14ac:dyDescent="0.35">
      <c r="F658" t="s">
        <v>1</v>
      </c>
      <c r="X658" t="s">
        <v>178</v>
      </c>
    </row>
    <row r="659" spans="6:24" x14ac:dyDescent="0.35">
      <c r="F659" t="s">
        <v>2</v>
      </c>
      <c r="X659" t="s">
        <v>2</v>
      </c>
    </row>
    <row r="660" spans="6:24" x14ac:dyDescent="0.35">
      <c r="F660" t="s">
        <v>65</v>
      </c>
      <c r="X660" t="s">
        <v>4</v>
      </c>
    </row>
    <row r="661" spans="6:24" x14ac:dyDescent="0.35">
      <c r="F661" t="s">
        <v>4</v>
      </c>
      <c r="X661" t="s">
        <v>5</v>
      </c>
    </row>
    <row r="662" spans="6:24" x14ac:dyDescent="0.35">
      <c r="F662" t="s">
        <v>5</v>
      </c>
    </row>
    <row r="663" spans="6:24" x14ac:dyDescent="0.35">
      <c r="X663" t="s">
        <v>6</v>
      </c>
    </row>
    <row r="664" spans="6:24" x14ac:dyDescent="0.35">
      <c r="F664" t="s">
        <v>6</v>
      </c>
      <c r="X664" t="s">
        <v>179</v>
      </c>
    </row>
    <row r="665" spans="6:24" x14ac:dyDescent="0.35">
      <c r="F665" t="s">
        <v>7</v>
      </c>
      <c r="X665">
        <v>50</v>
      </c>
    </row>
    <row r="666" spans="6:24" x14ac:dyDescent="0.35">
      <c r="F666">
        <v>26</v>
      </c>
      <c r="X666">
        <v>128542</v>
      </c>
    </row>
    <row r="667" spans="6:24" x14ac:dyDescent="0.35">
      <c r="F667">
        <v>103011</v>
      </c>
      <c r="X667" t="s">
        <v>216</v>
      </c>
    </row>
    <row r="668" spans="6:24" x14ac:dyDescent="0.35">
      <c r="F668" t="s">
        <v>78</v>
      </c>
      <c r="X668" t="s">
        <v>203</v>
      </c>
    </row>
    <row r="669" spans="6:24" x14ac:dyDescent="0.35">
      <c r="F669" t="s">
        <v>9</v>
      </c>
    </row>
    <row r="670" spans="6:24" x14ac:dyDescent="0.35">
      <c r="X670" t="s">
        <v>10</v>
      </c>
    </row>
    <row r="671" spans="6:24" x14ac:dyDescent="0.35">
      <c r="F671" t="s">
        <v>10</v>
      </c>
      <c r="X671" t="s">
        <v>217</v>
      </c>
    </row>
    <row r="672" spans="6:24" x14ac:dyDescent="0.35">
      <c r="F672">
        <v>2.5000000000000001E-5</v>
      </c>
      <c r="X672">
        <v>6.3527E-2</v>
      </c>
    </row>
    <row r="673" spans="6:24" x14ac:dyDescent="0.35">
      <c r="F673">
        <v>2.251E-3</v>
      </c>
      <c r="X673">
        <v>6.38E-4</v>
      </c>
    </row>
    <row r="674" spans="6:24" x14ac:dyDescent="0.35">
      <c r="F674" t="s">
        <v>238</v>
      </c>
      <c r="X674" t="s">
        <v>239</v>
      </c>
    </row>
    <row r="676" spans="6:24" x14ac:dyDescent="0.35">
      <c r="F676" t="s">
        <v>1</v>
      </c>
      <c r="X676" t="s">
        <v>178</v>
      </c>
    </row>
    <row r="677" spans="6:24" x14ac:dyDescent="0.35">
      <c r="F677" t="s">
        <v>2</v>
      </c>
      <c r="X677" t="s">
        <v>2</v>
      </c>
    </row>
    <row r="678" spans="6:24" x14ac:dyDescent="0.35">
      <c r="F678" t="s">
        <v>65</v>
      </c>
      <c r="X678" t="s">
        <v>4</v>
      </c>
    </row>
    <row r="679" spans="6:24" x14ac:dyDescent="0.35">
      <c r="F679" t="s">
        <v>4</v>
      </c>
      <c r="X679" t="s">
        <v>5</v>
      </c>
    </row>
    <row r="680" spans="6:24" x14ac:dyDescent="0.35">
      <c r="F680" t="s">
        <v>5</v>
      </c>
    </row>
    <row r="681" spans="6:24" x14ac:dyDescent="0.35">
      <c r="X681" t="s">
        <v>6</v>
      </c>
    </row>
    <row r="682" spans="6:24" x14ac:dyDescent="0.35">
      <c r="F682" t="s">
        <v>6</v>
      </c>
      <c r="X682" t="s">
        <v>179</v>
      </c>
    </row>
    <row r="683" spans="6:24" x14ac:dyDescent="0.35">
      <c r="F683" t="s">
        <v>7</v>
      </c>
      <c r="X683">
        <v>50</v>
      </c>
    </row>
    <row r="684" spans="6:24" x14ac:dyDescent="0.35">
      <c r="F684">
        <v>22</v>
      </c>
      <c r="X684">
        <v>128542</v>
      </c>
    </row>
    <row r="685" spans="6:24" x14ac:dyDescent="0.35">
      <c r="F685">
        <v>100403</v>
      </c>
      <c r="X685" t="s">
        <v>216</v>
      </c>
    </row>
    <row r="686" spans="6:24" x14ac:dyDescent="0.35">
      <c r="F686" t="s">
        <v>79</v>
      </c>
      <c r="X686" t="s">
        <v>203</v>
      </c>
    </row>
    <row r="687" spans="6:24" x14ac:dyDescent="0.35">
      <c r="F687" t="s">
        <v>33</v>
      </c>
    </row>
    <row r="688" spans="6:24" x14ac:dyDescent="0.35">
      <c r="X688" t="s">
        <v>10</v>
      </c>
    </row>
    <row r="689" spans="6:24" x14ac:dyDescent="0.35">
      <c r="F689" t="s">
        <v>10</v>
      </c>
      <c r="X689" t="s">
        <v>217</v>
      </c>
    </row>
    <row r="690" spans="6:24" x14ac:dyDescent="0.35">
      <c r="F690">
        <v>2.0999999999999999E-5</v>
      </c>
      <c r="X690">
        <v>2.2133E-2</v>
      </c>
    </row>
    <row r="691" spans="6:24" x14ac:dyDescent="0.35">
      <c r="F691">
        <v>7.5929999999999999E-3</v>
      </c>
      <c r="X691">
        <v>1.3929999999999999E-3</v>
      </c>
    </row>
    <row r="692" spans="6:24" x14ac:dyDescent="0.35">
      <c r="F692" t="s">
        <v>244</v>
      </c>
      <c r="X692" t="s">
        <v>245</v>
      </c>
    </row>
    <row r="694" spans="6:24" x14ac:dyDescent="0.35">
      <c r="F694" t="s">
        <v>1</v>
      </c>
      <c r="X694" t="s">
        <v>178</v>
      </c>
    </row>
    <row r="695" spans="6:24" x14ac:dyDescent="0.35">
      <c r="F695" t="s">
        <v>2</v>
      </c>
      <c r="X695" t="s">
        <v>2</v>
      </c>
    </row>
    <row r="696" spans="6:24" x14ac:dyDescent="0.35">
      <c r="F696" t="s">
        <v>65</v>
      </c>
      <c r="X696" t="s">
        <v>4</v>
      </c>
    </row>
    <row r="697" spans="6:24" x14ac:dyDescent="0.35">
      <c r="F697" t="s">
        <v>4</v>
      </c>
      <c r="X697" t="s">
        <v>5</v>
      </c>
    </row>
    <row r="698" spans="6:24" x14ac:dyDescent="0.35">
      <c r="F698" t="s">
        <v>5</v>
      </c>
    </row>
    <row r="699" spans="6:24" x14ac:dyDescent="0.35">
      <c r="X699" t="s">
        <v>6</v>
      </c>
    </row>
    <row r="700" spans="6:24" x14ac:dyDescent="0.35">
      <c r="F700" t="s">
        <v>6</v>
      </c>
      <c r="X700" t="s">
        <v>179</v>
      </c>
    </row>
    <row r="701" spans="6:24" x14ac:dyDescent="0.35">
      <c r="F701" t="s">
        <v>7</v>
      </c>
      <c r="X701">
        <v>50</v>
      </c>
    </row>
    <row r="702" spans="6:24" x14ac:dyDescent="0.35">
      <c r="F702">
        <v>26</v>
      </c>
      <c r="X702">
        <v>128542</v>
      </c>
    </row>
    <row r="703" spans="6:24" x14ac:dyDescent="0.35">
      <c r="F703">
        <v>87625</v>
      </c>
      <c r="X703" t="s">
        <v>216</v>
      </c>
    </row>
    <row r="704" spans="6:24" x14ac:dyDescent="0.35">
      <c r="F704" t="s">
        <v>80</v>
      </c>
      <c r="X704" t="s">
        <v>203</v>
      </c>
    </row>
    <row r="705" spans="6:24" x14ac:dyDescent="0.35">
      <c r="F705" t="s">
        <v>9</v>
      </c>
    </row>
    <row r="706" spans="6:24" x14ac:dyDescent="0.35">
      <c r="X706" t="s">
        <v>10</v>
      </c>
    </row>
    <row r="707" spans="6:24" x14ac:dyDescent="0.35">
      <c r="F707" t="s">
        <v>10</v>
      </c>
      <c r="X707" t="s">
        <v>217</v>
      </c>
    </row>
    <row r="708" spans="6:24" x14ac:dyDescent="0.35">
      <c r="F708">
        <v>3.1000000000000001E-5</v>
      </c>
      <c r="X708">
        <v>2.2141999999999998E-2</v>
      </c>
    </row>
    <row r="709" spans="6:24" x14ac:dyDescent="0.35">
      <c r="F709">
        <v>2.784E-3</v>
      </c>
      <c r="X709">
        <v>5.71E-4</v>
      </c>
    </row>
    <row r="710" spans="6:24" x14ac:dyDescent="0.35">
      <c r="F710" t="s">
        <v>242</v>
      </c>
      <c r="X710" t="s">
        <v>243</v>
      </c>
    </row>
    <row r="712" spans="6:24" x14ac:dyDescent="0.35">
      <c r="F712" t="s">
        <v>1</v>
      </c>
      <c r="X712" t="s">
        <v>178</v>
      </c>
    </row>
    <row r="713" spans="6:24" x14ac:dyDescent="0.35">
      <c r="F713" t="s">
        <v>2</v>
      </c>
      <c r="X713" t="s">
        <v>2</v>
      </c>
    </row>
    <row r="714" spans="6:24" x14ac:dyDescent="0.35">
      <c r="F714" t="s">
        <v>65</v>
      </c>
      <c r="X714" t="s">
        <v>4</v>
      </c>
    </row>
    <row r="715" spans="6:24" x14ac:dyDescent="0.35">
      <c r="F715" t="s">
        <v>4</v>
      </c>
      <c r="X715" t="s">
        <v>5</v>
      </c>
    </row>
    <row r="716" spans="6:24" x14ac:dyDescent="0.35">
      <c r="F716" t="s">
        <v>5</v>
      </c>
    </row>
    <row r="717" spans="6:24" x14ac:dyDescent="0.35">
      <c r="X717" t="s">
        <v>6</v>
      </c>
    </row>
    <row r="718" spans="6:24" x14ac:dyDescent="0.35">
      <c r="F718" t="s">
        <v>6</v>
      </c>
      <c r="X718" t="s">
        <v>179</v>
      </c>
    </row>
    <row r="719" spans="6:24" x14ac:dyDescent="0.35">
      <c r="F719" t="s">
        <v>7</v>
      </c>
      <c r="X719">
        <v>50</v>
      </c>
    </row>
    <row r="720" spans="6:24" x14ac:dyDescent="0.35">
      <c r="F720">
        <v>27</v>
      </c>
      <c r="X720">
        <v>128542</v>
      </c>
    </row>
    <row r="721" spans="6:24" x14ac:dyDescent="0.35">
      <c r="F721">
        <v>88449</v>
      </c>
      <c r="X721" t="s">
        <v>216</v>
      </c>
    </row>
    <row r="722" spans="6:24" x14ac:dyDescent="0.35">
      <c r="F722" t="s">
        <v>81</v>
      </c>
      <c r="X722" t="s">
        <v>203</v>
      </c>
    </row>
    <row r="723" spans="6:24" x14ac:dyDescent="0.35">
      <c r="F723" t="s">
        <v>9</v>
      </c>
    </row>
    <row r="724" spans="6:24" x14ac:dyDescent="0.35">
      <c r="X724" t="s">
        <v>10</v>
      </c>
    </row>
    <row r="725" spans="6:24" x14ac:dyDescent="0.35">
      <c r="F725" t="s">
        <v>10</v>
      </c>
      <c r="X725" t="s">
        <v>217</v>
      </c>
    </row>
    <row r="726" spans="6:24" x14ac:dyDescent="0.35">
      <c r="F726">
        <v>2.5000000000000001E-5</v>
      </c>
      <c r="X726">
        <v>2.3633999999999999E-2</v>
      </c>
    </row>
    <row r="727" spans="6:24" x14ac:dyDescent="0.35">
      <c r="F727">
        <v>1.5969999999999999E-3</v>
      </c>
      <c r="X727">
        <v>5.8699999999999996E-4</v>
      </c>
    </row>
    <row r="728" spans="6:24" x14ac:dyDescent="0.35">
      <c r="F728" t="s">
        <v>240</v>
      </c>
      <c r="X728" t="s">
        <v>241</v>
      </c>
    </row>
    <row r="729" spans="6:24" x14ac:dyDescent="0.35">
      <c r="F729" t="s">
        <v>82</v>
      </c>
      <c r="X729" t="s">
        <v>224</v>
      </c>
    </row>
    <row r="731" spans="6:24" x14ac:dyDescent="0.35">
      <c r="F731" t="s">
        <v>1</v>
      </c>
      <c r="X731" t="s">
        <v>178</v>
      </c>
    </row>
    <row r="732" spans="6:24" x14ac:dyDescent="0.35">
      <c r="F732" t="s">
        <v>2</v>
      </c>
      <c r="X732" t="s">
        <v>2</v>
      </c>
    </row>
    <row r="733" spans="6:24" x14ac:dyDescent="0.35">
      <c r="F733" t="s">
        <v>83</v>
      </c>
      <c r="X733" t="s">
        <v>4</v>
      </c>
    </row>
    <row r="734" spans="6:24" x14ac:dyDescent="0.35">
      <c r="F734" t="s">
        <v>4</v>
      </c>
      <c r="X734" t="s">
        <v>5</v>
      </c>
    </row>
    <row r="735" spans="6:24" x14ac:dyDescent="0.35">
      <c r="F735" t="s">
        <v>5</v>
      </c>
    </row>
    <row r="736" spans="6:24" x14ac:dyDescent="0.35">
      <c r="X736" t="s">
        <v>6</v>
      </c>
    </row>
    <row r="737" spans="6:24" x14ac:dyDescent="0.35">
      <c r="F737" t="s">
        <v>6</v>
      </c>
      <c r="X737" t="s">
        <v>179</v>
      </c>
    </row>
    <row r="738" spans="6:24" x14ac:dyDescent="0.35">
      <c r="F738" t="s">
        <v>7</v>
      </c>
      <c r="X738">
        <v>70</v>
      </c>
    </row>
    <row r="739" spans="6:24" x14ac:dyDescent="0.35">
      <c r="F739">
        <v>24</v>
      </c>
      <c r="X739">
        <v>127735</v>
      </c>
    </row>
    <row r="740" spans="6:24" x14ac:dyDescent="0.35">
      <c r="F740">
        <v>98855</v>
      </c>
      <c r="X740" t="s">
        <v>225</v>
      </c>
    </row>
    <row r="741" spans="6:24" x14ac:dyDescent="0.35">
      <c r="F741" t="s">
        <v>84</v>
      </c>
      <c r="X741" t="s">
        <v>226</v>
      </c>
    </row>
    <row r="742" spans="6:24" x14ac:dyDescent="0.35">
      <c r="F742" t="s">
        <v>33</v>
      </c>
    </row>
    <row r="743" spans="6:24" x14ac:dyDescent="0.35">
      <c r="X743" t="s">
        <v>10</v>
      </c>
    </row>
    <row r="744" spans="6:24" x14ac:dyDescent="0.35">
      <c r="F744" t="s">
        <v>10</v>
      </c>
      <c r="X744" t="s">
        <v>227</v>
      </c>
    </row>
    <row r="745" spans="6:24" x14ac:dyDescent="0.35">
      <c r="F745">
        <v>2.6999999999999999E-5</v>
      </c>
      <c r="X745">
        <v>2.8708999999999998E-2</v>
      </c>
    </row>
    <row r="746" spans="6:24" x14ac:dyDescent="0.35">
      <c r="F746">
        <v>2.5509999999999999E-3</v>
      </c>
      <c r="X746">
        <v>5.5999999999999995E-4</v>
      </c>
    </row>
    <row r="747" spans="6:24" x14ac:dyDescent="0.35">
      <c r="F747" t="s">
        <v>85</v>
      </c>
      <c r="X747" t="s">
        <v>228</v>
      </c>
    </row>
    <row r="749" spans="6:24" x14ac:dyDescent="0.35">
      <c r="F749" t="s">
        <v>1</v>
      </c>
      <c r="X749" t="s">
        <v>178</v>
      </c>
    </row>
    <row r="750" spans="6:24" x14ac:dyDescent="0.35">
      <c r="F750" t="s">
        <v>2</v>
      </c>
      <c r="X750" t="s">
        <v>2</v>
      </c>
    </row>
    <row r="751" spans="6:24" x14ac:dyDescent="0.35">
      <c r="F751" t="s">
        <v>83</v>
      </c>
      <c r="X751" t="s">
        <v>4</v>
      </c>
    </row>
    <row r="752" spans="6:24" x14ac:dyDescent="0.35">
      <c r="F752" t="s">
        <v>4</v>
      </c>
      <c r="X752" t="s">
        <v>5</v>
      </c>
    </row>
    <row r="753" spans="6:24" x14ac:dyDescent="0.35">
      <c r="F753" t="s">
        <v>5</v>
      </c>
    </row>
    <row r="754" spans="6:24" x14ac:dyDescent="0.35">
      <c r="X754" t="s">
        <v>6</v>
      </c>
    </row>
    <row r="755" spans="6:24" x14ac:dyDescent="0.35">
      <c r="F755" t="s">
        <v>6</v>
      </c>
      <c r="X755" t="s">
        <v>179</v>
      </c>
    </row>
    <row r="756" spans="6:24" x14ac:dyDescent="0.35">
      <c r="F756" t="s">
        <v>7</v>
      </c>
      <c r="X756">
        <v>70</v>
      </c>
    </row>
    <row r="757" spans="6:24" x14ac:dyDescent="0.35">
      <c r="F757">
        <v>29</v>
      </c>
      <c r="X757">
        <v>127735</v>
      </c>
    </row>
    <row r="758" spans="6:24" x14ac:dyDescent="0.35">
      <c r="F758">
        <v>102670</v>
      </c>
      <c r="X758" t="s">
        <v>225</v>
      </c>
    </row>
    <row r="759" spans="6:24" x14ac:dyDescent="0.35">
      <c r="F759" t="s">
        <v>86</v>
      </c>
      <c r="X759" t="s">
        <v>226</v>
      </c>
    </row>
    <row r="760" spans="6:24" x14ac:dyDescent="0.35">
      <c r="F760" t="s">
        <v>9</v>
      </c>
    </row>
    <row r="761" spans="6:24" x14ac:dyDescent="0.35">
      <c r="X761" t="s">
        <v>10</v>
      </c>
    </row>
    <row r="762" spans="6:24" x14ac:dyDescent="0.35">
      <c r="F762" t="s">
        <v>10</v>
      </c>
      <c r="X762" t="s">
        <v>227</v>
      </c>
    </row>
    <row r="763" spans="6:24" x14ac:dyDescent="0.35">
      <c r="F763">
        <v>2.0000000000000002E-5</v>
      </c>
      <c r="X763">
        <v>3.7772E-2</v>
      </c>
    </row>
    <row r="764" spans="6:24" x14ac:dyDescent="0.35">
      <c r="F764">
        <v>2.5820000000000001E-3</v>
      </c>
      <c r="X764">
        <v>8.0900000000000004E-4</v>
      </c>
    </row>
    <row r="765" spans="6:24" x14ac:dyDescent="0.35">
      <c r="F765" t="s">
        <v>87</v>
      </c>
      <c r="X765" t="s">
        <v>229</v>
      </c>
    </row>
    <row r="767" spans="6:24" x14ac:dyDescent="0.35">
      <c r="F767" t="s">
        <v>1</v>
      </c>
      <c r="X767" t="s">
        <v>178</v>
      </c>
    </row>
    <row r="768" spans="6:24" x14ac:dyDescent="0.35">
      <c r="F768" t="s">
        <v>2</v>
      </c>
      <c r="X768" t="s">
        <v>2</v>
      </c>
    </row>
    <row r="769" spans="6:24" x14ac:dyDescent="0.35">
      <c r="F769" t="s">
        <v>83</v>
      </c>
      <c r="X769" t="s">
        <v>4</v>
      </c>
    </row>
    <row r="770" spans="6:24" x14ac:dyDescent="0.35">
      <c r="F770" t="s">
        <v>4</v>
      </c>
      <c r="X770" t="s">
        <v>5</v>
      </c>
    </row>
    <row r="771" spans="6:24" x14ac:dyDescent="0.35">
      <c r="F771" t="s">
        <v>5</v>
      </c>
    </row>
    <row r="772" spans="6:24" x14ac:dyDescent="0.35">
      <c r="X772" t="s">
        <v>6</v>
      </c>
    </row>
    <row r="773" spans="6:24" x14ac:dyDescent="0.35">
      <c r="F773" t="s">
        <v>6</v>
      </c>
      <c r="X773" t="s">
        <v>179</v>
      </c>
    </row>
    <row r="774" spans="6:24" x14ac:dyDescent="0.35">
      <c r="F774" t="s">
        <v>7</v>
      </c>
      <c r="X774">
        <v>70</v>
      </c>
    </row>
    <row r="775" spans="6:24" x14ac:dyDescent="0.35">
      <c r="F775">
        <v>24</v>
      </c>
      <c r="X775">
        <v>127735</v>
      </c>
    </row>
    <row r="776" spans="6:24" x14ac:dyDescent="0.35">
      <c r="F776">
        <v>90807</v>
      </c>
      <c r="X776" t="s">
        <v>225</v>
      </c>
    </row>
    <row r="777" spans="6:24" x14ac:dyDescent="0.35">
      <c r="F777" t="s">
        <v>88</v>
      </c>
      <c r="X777" t="s">
        <v>226</v>
      </c>
    </row>
    <row r="778" spans="6:24" x14ac:dyDescent="0.35">
      <c r="F778" t="s">
        <v>9</v>
      </c>
    </row>
    <row r="779" spans="6:24" x14ac:dyDescent="0.35">
      <c r="X779" t="s">
        <v>10</v>
      </c>
    </row>
    <row r="780" spans="6:24" x14ac:dyDescent="0.35">
      <c r="F780" t="s">
        <v>10</v>
      </c>
      <c r="X780" t="s">
        <v>227</v>
      </c>
    </row>
    <row r="781" spans="6:24" x14ac:dyDescent="0.35">
      <c r="F781">
        <v>3.0000000000000001E-5</v>
      </c>
      <c r="X781">
        <v>2.6374000000000002E-2</v>
      </c>
    </row>
    <row r="782" spans="6:24" x14ac:dyDescent="0.35">
      <c r="F782">
        <v>2.7320000000000001E-3</v>
      </c>
      <c r="X782">
        <v>5.5900000000000004E-4</v>
      </c>
    </row>
    <row r="783" spans="6:24" x14ac:dyDescent="0.35">
      <c r="F783" t="s">
        <v>89</v>
      </c>
      <c r="X783" t="s">
        <v>230</v>
      </c>
    </row>
    <row r="785" spans="6:24" x14ac:dyDescent="0.35">
      <c r="F785" t="s">
        <v>1</v>
      </c>
      <c r="X785" t="s">
        <v>178</v>
      </c>
    </row>
    <row r="786" spans="6:24" x14ac:dyDescent="0.35">
      <c r="F786" t="s">
        <v>2</v>
      </c>
      <c r="X786" t="s">
        <v>2</v>
      </c>
    </row>
    <row r="787" spans="6:24" x14ac:dyDescent="0.35">
      <c r="F787" t="s">
        <v>83</v>
      </c>
      <c r="X787" t="s">
        <v>4</v>
      </c>
    </row>
    <row r="788" spans="6:24" x14ac:dyDescent="0.35">
      <c r="F788" t="s">
        <v>4</v>
      </c>
      <c r="X788" t="s">
        <v>5</v>
      </c>
    </row>
    <row r="789" spans="6:24" x14ac:dyDescent="0.35">
      <c r="F789" t="s">
        <v>5</v>
      </c>
    </row>
    <row r="790" spans="6:24" x14ac:dyDescent="0.35">
      <c r="X790" t="s">
        <v>6</v>
      </c>
    </row>
    <row r="791" spans="6:24" x14ac:dyDescent="0.35">
      <c r="F791" t="s">
        <v>6</v>
      </c>
      <c r="X791" t="s">
        <v>179</v>
      </c>
    </row>
    <row r="792" spans="6:24" x14ac:dyDescent="0.35">
      <c r="F792" t="s">
        <v>7</v>
      </c>
      <c r="X792">
        <v>70</v>
      </c>
    </row>
    <row r="793" spans="6:24" x14ac:dyDescent="0.35">
      <c r="F793">
        <v>25</v>
      </c>
      <c r="X793">
        <v>127735</v>
      </c>
    </row>
    <row r="794" spans="6:24" x14ac:dyDescent="0.35">
      <c r="F794">
        <v>86632</v>
      </c>
      <c r="X794" t="s">
        <v>225</v>
      </c>
    </row>
    <row r="795" spans="6:24" x14ac:dyDescent="0.35">
      <c r="F795" t="s">
        <v>90</v>
      </c>
      <c r="X795" t="s">
        <v>226</v>
      </c>
    </row>
    <row r="796" spans="6:24" x14ac:dyDescent="0.35">
      <c r="F796" t="s">
        <v>9</v>
      </c>
    </row>
    <row r="797" spans="6:24" x14ac:dyDescent="0.35">
      <c r="X797" t="s">
        <v>10</v>
      </c>
    </row>
    <row r="798" spans="6:24" x14ac:dyDescent="0.35">
      <c r="F798" t="s">
        <v>10</v>
      </c>
      <c r="X798" t="s">
        <v>227</v>
      </c>
    </row>
    <row r="799" spans="6:24" x14ac:dyDescent="0.35">
      <c r="F799">
        <v>1.9000000000000001E-5</v>
      </c>
      <c r="X799">
        <v>2.5356E-2</v>
      </c>
    </row>
    <row r="800" spans="6:24" x14ac:dyDescent="0.35">
      <c r="F800">
        <v>1.9610000000000001E-3</v>
      </c>
      <c r="X800">
        <v>6.0999999999999997E-4</v>
      </c>
    </row>
    <row r="801" spans="6:24" x14ac:dyDescent="0.35">
      <c r="F801" t="s">
        <v>91</v>
      </c>
      <c r="X801" t="s">
        <v>231</v>
      </c>
    </row>
    <row r="803" spans="6:24" x14ac:dyDescent="0.35">
      <c r="F803" t="s">
        <v>1</v>
      </c>
      <c r="X803" t="s">
        <v>178</v>
      </c>
    </row>
    <row r="804" spans="6:24" x14ac:dyDescent="0.35">
      <c r="F804" t="s">
        <v>2</v>
      </c>
      <c r="X804" t="s">
        <v>2</v>
      </c>
    </row>
    <row r="805" spans="6:24" x14ac:dyDescent="0.35">
      <c r="F805" t="s">
        <v>83</v>
      </c>
      <c r="X805" t="s">
        <v>4</v>
      </c>
    </row>
    <row r="806" spans="6:24" x14ac:dyDescent="0.35">
      <c r="F806" t="s">
        <v>4</v>
      </c>
      <c r="X806" t="s">
        <v>5</v>
      </c>
    </row>
    <row r="807" spans="6:24" x14ac:dyDescent="0.35">
      <c r="F807" t="s">
        <v>5</v>
      </c>
    </row>
    <row r="808" spans="6:24" x14ac:dyDescent="0.35">
      <c r="X808" t="s">
        <v>6</v>
      </c>
    </row>
    <row r="809" spans="6:24" x14ac:dyDescent="0.35">
      <c r="F809" t="s">
        <v>6</v>
      </c>
      <c r="X809" t="s">
        <v>179</v>
      </c>
    </row>
    <row r="810" spans="6:24" x14ac:dyDescent="0.35">
      <c r="F810" t="s">
        <v>7</v>
      </c>
      <c r="X810">
        <v>70</v>
      </c>
    </row>
    <row r="811" spans="6:24" x14ac:dyDescent="0.35">
      <c r="F811">
        <v>23</v>
      </c>
      <c r="X811">
        <v>127735</v>
      </c>
    </row>
    <row r="812" spans="6:24" x14ac:dyDescent="0.35">
      <c r="F812">
        <v>105167</v>
      </c>
      <c r="X812" t="s">
        <v>225</v>
      </c>
    </row>
    <row r="813" spans="6:24" x14ac:dyDescent="0.35">
      <c r="F813" t="s">
        <v>92</v>
      </c>
      <c r="X813" t="s">
        <v>226</v>
      </c>
    </row>
    <row r="814" spans="6:24" x14ac:dyDescent="0.35">
      <c r="F814" t="s">
        <v>33</v>
      </c>
    </row>
    <row r="815" spans="6:24" x14ac:dyDescent="0.35">
      <c r="X815" t="s">
        <v>10</v>
      </c>
    </row>
    <row r="816" spans="6:24" x14ac:dyDescent="0.35">
      <c r="F816" t="s">
        <v>10</v>
      </c>
      <c r="X816" t="s">
        <v>227</v>
      </c>
    </row>
    <row r="817" spans="6:24" x14ac:dyDescent="0.35">
      <c r="F817">
        <v>2.3E-5</v>
      </c>
      <c r="X817">
        <v>2.8375000000000001E-2</v>
      </c>
    </row>
    <row r="818" spans="6:24" x14ac:dyDescent="0.35">
      <c r="F818">
        <v>2.3570000000000002E-3</v>
      </c>
      <c r="X818">
        <v>5.5699999999999999E-4</v>
      </c>
    </row>
    <row r="819" spans="6:24" x14ac:dyDescent="0.35">
      <c r="F819" t="s">
        <v>49</v>
      </c>
      <c r="X819" t="s">
        <v>232</v>
      </c>
    </row>
    <row r="821" spans="6:24" x14ac:dyDescent="0.35">
      <c r="F821" t="s">
        <v>1</v>
      </c>
      <c r="X821" t="s">
        <v>178</v>
      </c>
    </row>
    <row r="822" spans="6:24" x14ac:dyDescent="0.35">
      <c r="F822" t="s">
        <v>2</v>
      </c>
      <c r="X822" t="s">
        <v>2</v>
      </c>
    </row>
    <row r="823" spans="6:24" x14ac:dyDescent="0.35">
      <c r="F823" t="s">
        <v>83</v>
      </c>
      <c r="X823" t="s">
        <v>4</v>
      </c>
    </row>
    <row r="824" spans="6:24" x14ac:dyDescent="0.35">
      <c r="F824" t="s">
        <v>4</v>
      </c>
      <c r="X824" t="s">
        <v>5</v>
      </c>
    </row>
    <row r="825" spans="6:24" x14ac:dyDescent="0.35">
      <c r="F825" t="s">
        <v>5</v>
      </c>
    </row>
    <row r="826" spans="6:24" x14ac:dyDescent="0.35">
      <c r="X826" t="s">
        <v>6</v>
      </c>
    </row>
    <row r="827" spans="6:24" x14ac:dyDescent="0.35">
      <c r="F827" t="s">
        <v>6</v>
      </c>
      <c r="X827" t="s">
        <v>179</v>
      </c>
    </row>
    <row r="828" spans="6:24" x14ac:dyDescent="0.35">
      <c r="F828" t="s">
        <v>7</v>
      </c>
      <c r="X828">
        <v>70</v>
      </c>
    </row>
    <row r="829" spans="6:24" x14ac:dyDescent="0.35">
      <c r="F829">
        <v>22</v>
      </c>
      <c r="X829">
        <v>127735</v>
      </c>
    </row>
    <row r="830" spans="6:24" x14ac:dyDescent="0.35">
      <c r="F830">
        <v>115513</v>
      </c>
      <c r="X830" t="s">
        <v>225</v>
      </c>
    </row>
    <row r="831" spans="6:24" x14ac:dyDescent="0.35">
      <c r="F831" t="s">
        <v>93</v>
      </c>
      <c r="X831" t="s">
        <v>226</v>
      </c>
    </row>
    <row r="832" spans="6:24" x14ac:dyDescent="0.35">
      <c r="F832" t="s">
        <v>33</v>
      </c>
    </row>
    <row r="833" spans="6:24" x14ac:dyDescent="0.35">
      <c r="X833" t="s">
        <v>10</v>
      </c>
    </row>
    <row r="834" spans="6:24" x14ac:dyDescent="0.35">
      <c r="F834" t="s">
        <v>10</v>
      </c>
      <c r="X834" t="s">
        <v>227</v>
      </c>
    </row>
    <row r="835" spans="6:24" x14ac:dyDescent="0.35">
      <c r="F835">
        <v>2.1999999999999999E-5</v>
      </c>
      <c r="X835">
        <v>2.3448E-2</v>
      </c>
    </row>
    <row r="836" spans="6:24" x14ac:dyDescent="0.35">
      <c r="F836">
        <v>2.7390000000000001E-3</v>
      </c>
      <c r="X836">
        <v>5.5900000000000004E-4</v>
      </c>
    </row>
    <row r="837" spans="6:24" x14ac:dyDescent="0.35">
      <c r="F837" t="s">
        <v>246</v>
      </c>
      <c r="X837" t="s">
        <v>247</v>
      </c>
    </row>
    <row r="839" spans="6:24" x14ac:dyDescent="0.35">
      <c r="F839" t="s">
        <v>1</v>
      </c>
      <c r="X839" t="s">
        <v>178</v>
      </c>
    </row>
    <row r="840" spans="6:24" x14ac:dyDescent="0.35">
      <c r="F840" t="s">
        <v>2</v>
      </c>
      <c r="X840" t="s">
        <v>2</v>
      </c>
    </row>
    <row r="841" spans="6:24" x14ac:dyDescent="0.35">
      <c r="F841" t="s">
        <v>83</v>
      </c>
      <c r="X841" t="s">
        <v>4</v>
      </c>
    </row>
    <row r="842" spans="6:24" x14ac:dyDescent="0.35">
      <c r="F842" t="s">
        <v>4</v>
      </c>
      <c r="X842" t="s">
        <v>5</v>
      </c>
    </row>
    <row r="843" spans="6:24" x14ac:dyDescent="0.35">
      <c r="F843" t="s">
        <v>5</v>
      </c>
    </row>
    <row r="844" spans="6:24" x14ac:dyDescent="0.35">
      <c r="X844" t="s">
        <v>6</v>
      </c>
    </row>
    <row r="845" spans="6:24" x14ac:dyDescent="0.35">
      <c r="F845" t="s">
        <v>6</v>
      </c>
      <c r="X845" t="s">
        <v>179</v>
      </c>
    </row>
    <row r="846" spans="6:24" x14ac:dyDescent="0.35">
      <c r="F846" t="s">
        <v>7</v>
      </c>
      <c r="X846">
        <v>70</v>
      </c>
    </row>
    <row r="847" spans="6:24" x14ac:dyDescent="0.35">
      <c r="F847">
        <v>25</v>
      </c>
      <c r="X847">
        <v>127735</v>
      </c>
    </row>
    <row r="848" spans="6:24" x14ac:dyDescent="0.35">
      <c r="F848">
        <v>98459</v>
      </c>
      <c r="X848" t="s">
        <v>225</v>
      </c>
    </row>
    <row r="849" spans="6:24" x14ac:dyDescent="0.35">
      <c r="F849" t="s">
        <v>94</v>
      </c>
      <c r="X849" t="s">
        <v>226</v>
      </c>
    </row>
    <row r="850" spans="6:24" x14ac:dyDescent="0.35">
      <c r="F850" t="s">
        <v>9</v>
      </c>
    </row>
    <row r="851" spans="6:24" x14ac:dyDescent="0.35">
      <c r="X851" t="s">
        <v>10</v>
      </c>
    </row>
    <row r="852" spans="6:24" x14ac:dyDescent="0.35">
      <c r="F852" t="s">
        <v>10</v>
      </c>
      <c r="X852" t="s">
        <v>227</v>
      </c>
    </row>
    <row r="853" spans="6:24" x14ac:dyDescent="0.35">
      <c r="F853">
        <v>2.0999999999999999E-5</v>
      </c>
      <c r="X853">
        <v>3.6021999999999998E-2</v>
      </c>
    </row>
    <row r="854" spans="6:24" x14ac:dyDescent="0.35">
      <c r="F854">
        <v>2.3410000000000002E-3</v>
      </c>
      <c r="X854">
        <v>5.62E-4</v>
      </c>
    </row>
    <row r="855" spans="6:24" x14ac:dyDescent="0.35">
      <c r="F855" t="s">
        <v>95</v>
      </c>
      <c r="X855" t="s">
        <v>233</v>
      </c>
    </row>
    <row r="857" spans="6:24" x14ac:dyDescent="0.35">
      <c r="F857" t="s">
        <v>1</v>
      </c>
      <c r="X857" t="s">
        <v>178</v>
      </c>
    </row>
    <row r="858" spans="6:24" x14ac:dyDescent="0.35">
      <c r="F858" t="s">
        <v>2</v>
      </c>
      <c r="X858" t="s">
        <v>2</v>
      </c>
    </row>
    <row r="859" spans="6:24" x14ac:dyDescent="0.35">
      <c r="F859" t="s">
        <v>83</v>
      </c>
      <c r="X859" t="s">
        <v>4</v>
      </c>
    </row>
    <row r="860" spans="6:24" x14ac:dyDescent="0.35">
      <c r="F860" t="s">
        <v>4</v>
      </c>
      <c r="X860" t="s">
        <v>5</v>
      </c>
    </row>
    <row r="861" spans="6:24" x14ac:dyDescent="0.35">
      <c r="F861" t="s">
        <v>5</v>
      </c>
    </row>
    <row r="862" spans="6:24" x14ac:dyDescent="0.35">
      <c r="X862" t="s">
        <v>6</v>
      </c>
    </row>
    <row r="863" spans="6:24" x14ac:dyDescent="0.35">
      <c r="F863" t="s">
        <v>6</v>
      </c>
      <c r="X863" t="s">
        <v>179</v>
      </c>
    </row>
    <row r="864" spans="6:24" x14ac:dyDescent="0.35">
      <c r="F864" t="s">
        <v>7</v>
      </c>
      <c r="X864">
        <v>70</v>
      </c>
    </row>
    <row r="865" spans="6:24" x14ac:dyDescent="0.35">
      <c r="F865">
        <v>25</v>
      </c>
      <c r="X865">
        <v>127735</v>
      </c>
    </row>
    <row r="866" spans="6:24" x14ac:dyDescent="0.35">
      <c r="F866">
        <v>89570</v>
      </c>
      <c r="X866" t="s">
        <v>225</v>
      </c>
    </row>
    <row r="867" spans="6:24" x14ac:dyDescent="0.35">
      <c r="F867" t="s">
        <v>96</v>
      </c>
      <c r="X867" t="s">
        <v>226</v>
      </c>
    </row>
    <row r="868" spans="6:24" x14ac:dyDescent="0.35">
      <c r="F868" t="s">
        <v>9</v>
      </c>
    </row>
    <row r="869" spans="6:24" x14ac:dyDescent="0.35">
      <c r="X869" t="s">
        <v>10</v>
      </c>
    </row>
    <row r="870" spans="6:24" x14ac:dyDescent="0.35">
      <c r="F870" t="s">
        <v>10</v>
      </c>
      <c r="X870" t="s">
        <v>227</v>
      </c>
    </row>
    <row r="871" spans="6:24" x14ac:dyDescent="0.35">
      <c r="F871">
        <v>1.7E-5</v>
      </c>
      <c r="X871">
        <v>2.7973000000000001E-2</v>
      </c>
    </row>
    <row r="872" spans="6:24" x14ac:dyDescent="0.35">
      <c r="F872">
        <v>1.8600000000000001E-3</v>
      </c>
      <c r="X872">
        <v>5.7600000000000001E-4</v>
      </c>
    </row>
    <row r="873" spans="6:24" x14ac:dyDescent="0.35">
      <c r="F873" t="s">
        <v>97</v>
      </c>
      <c r="X873" t="s">
        <v>234</v>
      </c>
    </row>
    <row r="875" spans="6:24" x14ac:dyDescent="0.35">
      <c r="F875" t="s">
        <v>1</v>
      </c>
      <c r="X875" t="s">
        <v>178</v>
      </c>
    </row>
    <row r="876" spans="6:24" x14ac:dyDescent="0.35">
      <c r="F876" t="s">
        <v>2</v>
      </c>
      <c r="X876" t="s">
        <v>2</v>
      </c>
    </row>
    <row r="877" spans="6:24" x14ac:dyDescent="0.35">
      <c r="F877" t="s">
        <v>83</v>
      </c>
      <c r="X877" t="s">
        <v>4</v>
      </c>
    </row>
    <row r="878" spans="6:24" x14ac:dyDescent="0.35">
      <c r="F878" t="s">
        <v>4</v>
      </c>
      <c r="X878" t="s">
        <v>5</v>
      </c>
    </row>
    <row r="879" spans="6:24" x14ac:dyDescent="0.35">
      <c r="F879" t="s">
        <v>5</v>
      </c>
    </row>
    <row r="880" spans="6:24" x14ac:dyDescent="0.35">
      <c r="X880" t="s">
        <v>6</v>
      </c>
    </row>
    <row r="881" spans="6:24" x14ac:dyDescent="0.35">
      <c r="F881" t="s">
        <v>6</v>
      </c>
      <c r="X881" t="s">
        <v>179</v>
      </c>
    </row>
    <row r="882" spans="6:24" x14ac:dyDescent="0.35">
      <c r="F882" t="s">
        <v>7</v>
      </c>
      <c r="X882">
        <v>70</v>
      </c>
    </row>
    <row r="883" spans="6:24" x14ac:dyDescent="0.35">
      <c r="F883">
        <v>27</v>
      </c>
      <c r="X883">
        <v>127735</v>
      </c>
    </row>
    <row r="884" spans="6:24" x14ac:dyDescent="0.35">
      <c r="F884">
        <v>89924</v>
      </c>
      <c r="X884" t="s">
        <v>225</v>
      </c>
    </row>
    <row r="885" spans="6:24" x14ac:dyDescent="0.35">
      <c r="F885" t="s">
        <v>98</v>
      </c>
      <c r="X885" t="s">
        <v>226</v>
      </c>
    </row>
    <row r="886" spans="6:24" x14ac:dyDescent="0.35">
      <c r="F886" t="s">
        <v>9</v>
      </c>
    </row>
    <row r="887" spans="6:24" x14ac:dyDescent="0.35">
      <c r="X887" t="s">
        <v>10</v>
      </c>
    </row>
    <row r="888" spans="6:24" x14ac:dyDescent="0.35">
      <c r="F888" t="s">
        <v>10</v>
      </c>
      <c r="X888" t="s">
        <v>227</v>
      </c>
    </row>
    <row r="889" spans="6:24" x14ac:dyDescent="0.35">
      <c r="F889">
        <v>1.5999999999999999E-5</v>
      </c>
      <c r="X889">
        <v>2.385E-2</v>
      </c>
    </row>
    <row r="890" spans="6:24" x14ac:dyDescent="0.35">
      <c r="F890">
        <v>2.1440000000000001E-3</v>
      </c>
      <c r="X890">
        <v>5.5999999999999995E-4</v>
      </c>
    </row>
    <row r="891" spans="6:24" x14ac:dyDescent="0.35">
      <c r="F891" t="s">
        <v>99</v>
      </c>
      <c r="X891" t="s">
        <v>235</v>
      </c>
    </row>
    <row r="893" spans="6:24" x14ac:dyDescent="0.35">
      <c r="F893" t="s">
        <v>1</v>
      </c>
      <c r="X893" t="s">
        <v>178</v>
      </c>
    </row>
    <row r="894" spans="6:24" x14ac:dyDescent="0.35">
      <c r="F894" t="s">
        <v>2</v>
      </c>
      <c r="X894" t="s">
        <v>2</v>
      </c>
    </row>
    <row r="895" spans="6:24" x14ac:dyDescent="0.35">
      <c r="F895" t="s">
        <v>83</v>
      </c>
      <c r="X895" t="s">
        <v>4</v>
      </c>
    </row>
    <row r="896" spans="6:24" x14ac:dyDescent="0.35">
      <c r="F896" t="s">
        <v>4</v>
      </c>
      <c r="X896" t="s">
        <v>5</v>
      </c>
    </row>
    <row r="897" spans="6:24" x14ac:dyDescent="0.35">
      <c r="F897" t="s">
        <v>5</v>
      </c>
    </row>
    <row r="898" spans="6:24" x14ac:dyDescent="0.35">
      <c r="X898" t="s">
        <v>6</v>
      </c>
    </row>
    <row r="899" spans="6:24" x14ac:dyDescent="0.35">
      <c r="F899" t="s">
        <v>6</v>
      </c>
      <c r="X899" t="s">
        <v>179</v>
      </c>
    </row>
    <row r="900" spans="6:24" x14ac:dyDescent="0.35">
      <c r="F900" t="s">
        <v>7</v>
      </c>
      <c r="X900">
        <v>70</v>
      </c>
    </row>
    <row r="901" spans="6:24" x14ac:dyDescent="0.35">
      <c r="F901">
        <v>26</v>
      </c>
      <c r="X901">
        <v>127735</v>
      </c>
    </row>
    <row r="902" spans="6:24" x14ac:dyDescent="0.35">
      <c r="F902">
        <v>93507</v>
      </c>
      <c r="X902" t="s">
        <v>225</v>
      </c>
    </row>
    <row r="903" spans="6:24" x14ac:dyDescent="0.35">
      <c r="F903" t="s">
        <v>100</v>
      </c>
      <c r="X903" t="s">
        <v>226</v>
      </c>
    </row>
    <row r="904" spans="6:24" x14ac:dyDescent="0.35">
      <c r="F904" t="s">
        <v>9</v>
      </c>
    </row>
    <row r="905" spans="6:24" x14ac:dyDescent="0.35">
      <c r="X905" t="s">
        <v>10</v>
      </c>
    </row>
    <row r="906" spans="6:24" x14ac:dyDescent="0.35">
      <c r="F906" t="s">
        <v>10</v>
      </c>
      <c r="X906" t="s">
        <v>227</v>
      </c>
    </row>
    <row r="907" spans="6:24" x14ac:dyDescent="0.35">
      <c r="F907">
        <v>1.5999999999999999E-5</v>
      </c>
      <c r="X907">
        <v>5.8002999999999999E-2</v>
      </c>
    </row>
    <row r="908" spans="6:24" x14ac:dyDescent="0.35">
      <c r="F908">
        <v>2.0600000000000002E-3</v>
      </c>
      <c r="X908">
        <v>9.3999999999999997E-4</v>
      </c>
    </row>
    <row r="909" spans="6:24" x14ac:dyDescent="0.35">
      <c r="F909" t="s">
        <v>101</v>
      </c>
      <c r="X909" t="s">
        <v>236</v>
      </c>
    </row>
    <row r="910" spans="6:24" x14ac:dyDescent="0.35">
      <c r="F910" t="s">
        <v>102</v>
      </c>
      <c r="X910" t="s">
        <v>168</v>
      </c>
    </row>
    <row r="912" spans="6:24" x14ac:dyDescent="0.35">
      <c r="F912" t="s">
        <v>1</v>
      </c>
    </row>
    <row r="913" spans="6:6" x14ac:dyDescent="0.35">
      <c r="F913" t="s">
        <v>2</v>
      </c>
    </row>
    <row r="914" spans="6:6" x14ac:dyDescent="0.35">
      <c r="F914" t="s">
        <v>103</v>
      </c>
    </row>
    <row r="915" spans="6:6" x14ac:dyDescent="0.35">
      <c r="F915" t="s">
        <v>4</v>
      </c>
    </row>
    <row r="916" spans="6:6" x14ac:dyDescent="0.35">
      <c r="F916" t="s">
        <v>5</v>
      </c>
    </row>
    <row r="918" spans="6:6" x14ac:dyDescent="0.35">
      <c r="F918" t="s">
        <v>6</v>
      </c>
    </row>
    <row r="919" spans="6:6" x14ac:dyDescent="0.35">
      <c r="F919" t="s">
        <v>7</v>
      </c>
    </row>
    <row r="920" spans="6:6" x14ac:dyDescent="0.35">
      <c r="F920">
        <v>25</v>
      </c>
    </row>
    <row r="921" spans="6:6" x14ac:dyDescent="0.35">
      <c r="F921">
        <v>91034</v>
      </c>
    </row>
    <row r="922" spans="6:6" x14ac:dyDescent="0.35">
      <c r="F922" t="s">
        <v>104</v>
      </c>
    </row>
    <row r="923" spans="6:6" x14ac:dyDescent="0.35">
      <c r="F923" t="s">
        <v>9</v>
      </c>
    </row>
    <row r="925" spans="6:6" x14ac:dyDescent="0.35">
      <c r="F925" t="s">
        <v>10</v>
      </c>
    </row>
    <row r="926" spans="6:6" x14ac:dyDescent="0.35">
      <c r="F926">
        <v>2.5000000000000001E-5</v>
      </c>
    </row>
    <row r="927" spans="6:6" x14ac:dyDescent="0.35">
      <c r="F927">
        <v>2.7009999999999998E-3</v>
      </c>
    </row>
    <row r="928" spans="6:6" x14ac:dyDescent="0.35">
      <c r="F928" t="s">
        <v>105</v>
      </c>
    </row>
    <row r="930" spans="6:6" x14ac:dyDescent="0.35">
      <c r="F930" t="s">
        <v>1</v>
      </c>
    </row>
    <row r="931" spans="6:6" x14ac:dyDescent="0.35">
      <c r="F931" t="s">
        <v>2</v>
      </c>
    </row>
    <row r="932" spans="6:6" x14ac:dyDescent="0.35">
      <c r="F932" t="s">
        <v>103</v>
      </c>
    </row>
    <row r="933" spans="6:6" x14ac:dyDescent="0.35">
      <c r="F933" t="s">
        <v>4</v>
      </c>
    </row>
    <row r="934" spans="6:6" x14ac:dyDescent="0.35">
      <c r="F934" t="s">
        <v>5</v>
      </c>
    </row>
    <row r="936" spans="6:6" x14ac:dyDescent="0.35">
      <c r="F936" t="s">
        <v>6</v>
      </c>
    </row>
    <row r="937" spans="6:6" x14ac:dyDescent="0.35">
      <c r="F937" t="s">
        <v>7</v>
      </c>
    </row>
    <row r="938" spans="6:6" x14ac:dyDescent="0.35">
      <c r="F938">
        <v>24</v>
      </c>
    </row>
    <row r="939" spans="6:6" x14ac:dyDescent="0.35">
      <c r="F939">
        <v>99241</v>
      </c>
    </row>
    <row r="940" spans="6:6" x14ac:dyDescent="0.35">
      <c r="F940" t="s">
        <v>106</v>
      </c>
    </row>
    <row r="941" spans="6:6" x14ac:dyDescent="0.35">
      <c r="F941" t="s">
        <v>33</v>
      </c>
    </row>
    <row r="943" spans="6:6" x14ac:dyDescent="0.35">
      <c r="F943" t="s">
        <v>10</v>
      </c>
    </row>
    <row r="944" spans="6:6" x14ac:dyDescent="0.35">
      <c r="F944">
        <v>3.8999999999999999E-5</v>
      </c>
    </row>
    <row r="945" spans="6:6" x14ac:dyDescent="0.35">
      <c r="F945">
        <v>6.4669999999999997E-3</v>
      </c>
    </row>
    <row r="946" spans="6:6" x14ac:dyDescent="0.35">
      <c r="F946" t="s">
        <v>107</v>
      </c>
    </row>
    <row r="948" spans="6:6" x14ac:dyDescent="0.35">
      <c r="F948" t="s">
        <v>1</v>
      </c>
    </row>
    <row r="949" spans="6:6" x14ac:dyDescent="0.35">
      <c r="F949" t="s">
        <v>2</v>
      </c>
    </row>
    <row r="950" spans="6:6" x14ac:dyDescent="0.35">
      <c r="F950" t="s">
        <v>103</v>
      </c>
    </row>
    <row r="951" spans="6:6" x14ac:dyDescent="0.35">
      <c r="F951" t="s">
        <v>4</v>
      </c>
    </row>
    <row r="952" spans="6:6" x14ac:dyDescent="0.35">
      <c r="F952" t="s">
        <v>5</v>
      </c>
    </row>
    <row r="954" spans="6:6" x14ac:dyDescent="0.35">
      <c r="F954" t="s">
        <v>6</v>
      </c>
    </row>
    <row r="955" spans="6:6" x14ac:dyDescent="0.35">
      <c r="F955" t="s">
        <v>7</v>
      </c>
    </row>
    <row r="956" spans="6:6" x14ac:dyDescent="0.35">
      <c r="F956">
        <v>26</v>
      </c>
    </row>
    <row r="957" spans="6:6" x14ac:dyDescent="0.35">
      <c r="F957">
        <v>91980</v>
      </c>
    </row>
    <row r="958" spans="6:6" x14ac:dyDescent="0.35">
      <c r="F958" t="s">
        <v>108</v>
      </c>
    </row>
    <row r="959" spans="6:6" x14ac:dyDescent="0.35">
      <c r="F959" t="s">
        <v>9</v>
      </c>
    </row>
    <row r="961" spans="6:6" x14ac:dyDescent="0.35">
      <c r="F961" t="s">
        <v>10</v>
      </c>
    </row>
    <row r="962" spans="6:6" x14ac:dyDescent="0.35">
      <c r="F962">
        <v>2.1999999999999999E-5</v>
      </c>
    </row>
    <row r="963" spans="6:6" x14ac:dyDescent="0.35">
      <c r="F963">
        <v>3.4659999999999999E-3</v>
      </c>
    </row>
    <row r="964" spans="6:6" x14ac:dyDescent="0.35">
      <c r="F964" t="s">
        <v>109</v>
      </c>
    </row>
    <row r="966" spans="6:6" x14ac:dyDescent="0.35">
      <c r="F966" t="s">
        <v>1</v>
      </c>
    </row>
    <row r="967" spans="6:6" x14ac:dyDescent="0.35">
      <c r="F967" t="s">
        <v>2</v>
      </c>
    </row>
    <row r="968" spans="6:6" x14ac:dyDescent="0.35">
      <c r="F968" t="s">
        <v>103</v>
      </c>
    </row>
    <row r="969" spans="6:6" x14ac:dyDescent="0.35">
      <c r="F969" t="s">
        <v>4</v>
      </c>
    </row>
    <row r="970" spans="6:6" x14ac:dyDescent="0.35">
      <c r="F970" t="s">
        <v>5</v>
      </c>
    </row>
    <row r="972" spans="6:6" x14ac:dyDescent="0.35">
      <c r="F972" t="s">
        <v>6</v>
      </c>
    </row>
    <row r="973" spans="6:6" x14ac:dyDescent="0.35">
      <c r="F973" t="s">
        <v>7</v>
      </c>
    </row>
    <row r="974" spans="6:6" x14ac:dyDescent="0.35">
      <c r="F974">
        <v>26</v>
      </c>
    </row>
    <row r="975" spans="6:6" x14ac:dyDescent="0.35">
      <c r="F975">
        <v>94863</v>
      </c>
    </row>
    <row r="976" spans="6:6" x14ac:dyDescent="0.35">
      <c r="F976" t="s">
        <v>110</v>
      </c>
    </row>
    <row r="977" spans="6:6" x14ac:dyDescent="0.35">
      <c r="F977" t="s">
        <v>9</v>
      </c>
    </row>
    <row r="979" spans="6:6" x14ac:dyDescent="0.35">
      <c r="F979" t="s">
        <v>10</v>
      </c>
    </row>
    <row r="980" spans="6:6" x14ac:dyDescent="0.35">
      <c r="F980">
        <v>3.3000000000000003E-5</v>
      </c>
    </row>
    <row r="981" spans="6:6" x14ac:dyDescent="0.35">
      <c r="F981">
        <v>2.0990000000000002E-3</v>
      </c>
    </row>
    <row r="982" spans="6:6" x14ac:dyDescent="0.35">
      <c r="F982" t="s">
        <v>111</v>
      </c>
    </row>
    <row r="984" spans="6:6" x14ac:dyDescent="0.35">
      <c r="F984" t="s">
        <v>1</v>
      </c>
    </row>
    <row r="985" spans="6:6" x14ac:dyDescent="0.35">
      <c r="F985" t="s">
        <v>2</v>
      </c>
    </row>
    <row r="986" spans="6:6" x14ac:dyDescent="0.35">
      <c r="F986" t="s">
        <v>103</v>
      </c>
    </row>
    <row r="987" spans="6:6" x14ac:dyDescent="0.35">
      <c r="F987" t="s">
        <v>4</v>
      </c>
    </row>
    <row r="988" spans="6:6" x14ac:dyDescent="0.35">
      <c r="F988" t="s">
        <v>5</v>
      </c>
    </row>
    <row r="990" spans="6:6" x14ac:dyDescent="0.35">
      <c r="F990" t="s">
        <v>6</v>
      </c>
    </row>
    <row r="991" spans="6:6" x14ac:dyDescent="0.35">
      <c r="F991" t="s">
        <v>7</v>
      </c>
    </row>
    <row r="992" spans="6:6" x14ac:dyDescent="0.35">
      <c r="F992">
        <v>24</v>
      </c>
    </row>
    <row r="993" spans="6:6" x14ac:dyDescent="0.35">
      <c r="F993">
        <v>108566</v>
      </c>
    </row>
    <row r="994" spans="6:6" x14ac:dyDescent="0.35">
      <c r="F994" t="s">
        <v>112</v>
      </c>
    </row>
    <row r="995" spans="6:6" x14ac:dyDescent="0.35">
      <c r="F995" t="s">
        <v>33</v>
      </c>
    </row>
    <row r="997" spans="6:6" x14ac:dyDescent="0.35">
      <c r="F997" t="s">
        <v>10</v>
      </c>
    </row>
    <row r="998" spans="6:6" x14ac:dyDescent="0.35">
      <c r="F998">
        <v>2.0000000000000002E-5</v>
      </c>
    </row>
    <row r="999" spans="6:6" x14ac:dyDescent="0.35">
      <c r="F999">
        <v>2.408E-3</v>
      </c>
    </row>
    <row r="1000" spans="6:6" x14ac:dyDescent="0.35">
      <c r="F1000" t="s">
        <v>113</v>
      </c>
    </row>
    <row r="1002" spans="6:6" x14ac:dyDescent="0.35">
      <c r="F1002" t="s">
        <v>1</v>
      </c>
    </row>
    <row r="1003" spans="6:6" x14ac:dyDescent="0.35">
      <c r="F1003" t="s">
        <v>2</v>
      </c>
    </row>
    <row r="1004" spans="6:6" x14ac:dyDescent="0.35">
      <c r="F1004" t="s">
        <v>103</v>
      </c>
    </row>
    <row r="1005" spans="6:6" x14ac:dyDescent="0.35">
      <c r="F1005" t="s">
        <v>4</v>
      </c>
    </row>
    <row r="1006" spans="6:6" x14ac:dyDescent="0.35">
      <c r="F1006" t="s">
        <v>5</v>
      </c>
    </row>
    <row r="1008" spans="6:6" x14ac:dyDescent="0.35">
      <c r="F1008" t="s">
        <v>6</v>
      </c>
    </row>
    <row r="1009" spans="6:6" x14ac:dyDescent="0.35">
      <c r="F1009" t="s">
        <v>7</v>
      </c>
    </row>
    <row r="1010" spans="6:6" x14ac:dyDescent="0.35">
      <c r="F1010">
        <v>23</v>
      </c>
    </row>
    <row r="1011" spans="6:6" x14ac:dyDescent="0.35">
      <c r="F1011">
        <v>103861</v>
      </c>
    </row>
    <row r="1012" spans="6:6" x14ac:dyDescent="0.35">
      <c r="F1012" t="s">
        <v>114</v>
      </c>
    </row>
    <row r="1013" spans="6:6" x14ac:dyDescent="0.35">
      <c r="F1013" t="s">
        <v>33</v>
      </c>
    </row>
    <row r="1015" spans="6:6" x14ac:dyDescent="0.35">
      <c r="F1015" t="s">
        <v>10</v>
      </c>
    </row>
    <row r="1016" spans="6:6" x14ac:dyDescent="0.35">
      <c r="F1016">
        <v>3.1000000000000001E-5</v>
      </c>
    </row>
    <row r="1017" spans="6:6" x14ac:dyDescent="0.35">
      <c r="F1017">
        <v>2.859E-3</v>
      </c>
    </row>
    <row r="1018" spans="6:6" x14ac:dyDescent="0.35">
      <c r="F1018" t="s">
        <v>115</v>
      </c>
    </row>
    <row r="1020" spans="6:6" x14ac:dyDescent="0.35">
      <c r="F1020" t="s">
        <v>1</v>
      </c>
    </row>
    <row r="1021" spans="6:6" x14ac:dyDescent="0.35">
      <c r="F1021" t="s">
        <v>2</v>
      </c>
    </row>
    <row r="1022" spans="6:6" x14ac:dyDescent="0.35">
      <c r="F1022" t="s">
        <v>103</v>
      </c>
    </row>
    <row r="1023" spans="6:6" x14ac:dyDescent="0.35">
      <c r="F1023" t="s">
        <v>4</v>
      </c>
    </row>
    <row r="1024" spans="6:6" x14ac:dyDescent="0.35">
      <c r="F1024" t="s">
        <v>5</v>
      </c>
    </row>
    <row r="1026" spans="6:6" x14ac:dyDescent="0.35">
      <c r="F1026" t="s">
        <v>6</v>
      </c>
    </row>
    <row r="1027" spans="6:6" x14ac:dyDescent="0.35">
      <c r="F1027" t="s">
        <v>7</v>
      </c>
    </row>
    <row r="1028" spans="6:6" x14ac:dyDescent="0.35">
      <c r="F1028">
        <v>24</v>
      </c>
    </row>
    <row r="1029" spans="6:6" x14ac:dyDescent="0.35">
      <c r="F1029">
        <v>98166</v>
      </c>
    </row>
    <row r="1030" spans="6:6" x14ac:dyDescent="0.35">
      <c r="F1030" t="s">
        <v>116</v>
      </c>
    </row>
    <row r="1031" spans="6:6" x14ac:dyDescent="0.35">
      <c r="F1031" t="s">
        <v>33</v>
      </c>
    </row>
    <row r="1033" spans="6:6" x14ac:dyDescent="0.35">
      <c r="F1033" t="s">
        <v>10</v>
      </c>
    </row>
    <row r="1034" spans="6:6" x14ac:dyDescent="0.35">
      <c r="F1034">
        <v>2.5999999999999998E-5</v>
      </c>
    </row>
    <row r="1035" spans="6:6" x14ac:dyDescent="0.35">
      <c r="F1035">
        <v>2.6519999999999998E-3</v>
      </c>
    </row>
    <row r="1036" spans="6:6" x14ac:dyDescent="0.35">
      <c r="F1036" t="s">
        <v>117</v>
      </c>
    </row>
    <row r="1038" spans="6:6" x14ac:dyDescent="0.35">
      <c r="F1038" t="s">
        <v>1</v>
      </c>
    </row>
    <row r="1039" spans="6:6" x14ac:dyDescent="0.35">
      <c r="F1039" t="s">
        <v>2</v>
      </c>
    </row>
    <row r="1040" spans="6:6" x14ac:dyDescent="0.35">
      <c r="F1040" t="s">
        <v>103</v>
      </c>
    </row>
    <row r="1041" spans="6:6" x14ac:dyDescent="0.35">
      <c r="F1041" t="s">
        <v>4</v>
      </c>
    </row>
    <row r="1042" spans="6:6" x14ac:dyDescent="0.35">
      <c r="F1042" t="s">
        <v>5</v>
      </c>
    </row>
    <row r="1044" spans="6:6" x14ac:dyDescent="0.35">
      <c r="F1044" t="s">
        <v>6</v>
      </c>
    </row>
    <row r="1045" spans="6:6" x14ac:dyDescent="0.35">
      <c r="F1045" t="s">
        <v>7</v>
      </c>
    </row>
    <row r="1046" spans="6:6" x14ac:dyDescent="0.35">
      <c r="F1046">
        <v>24</v>
      </c>
    </row>
    <row r="1047" spans="6:6" x14ac:dyDescent="0.35">
      <c r="F1047">
        <v>91834</v>
      </c>
    </row>
    <row r="1048" spans="6:6" x14ac:dyDescent="0.35">
      <c r="F1048" t="s">
        <v>118</v>
      </c>
    </row>
    <row r="1049" spans="6:6" x14ac:dyDescent="0.35">
      <c r="F1049" t="s">
        <v>9</v>
      </c>
    </row>
    <row r="1051" spans="6:6" x14ac:dyDescent="0.35">
      <c r="F1051" t="s">
        <v>10</v>
      </c>
    </row>
    <row r="1052" spans="6:6" x14ac:dyDescent="0.35">
      <c r="F1052">
        <v>2.0999999999999999E-5</v>
      </c>
    </row>
    <row r="1053" spans="6:6" x14ac:dyDescent="0.35">
      <c r="F1053">
        <v>4.7010000000000003E-3</v>
      </c>
    </row>
    <row r="1054" spans="6:6" x14ac:dyDescent="0.35">
      <c r="F1054" t="s">
        <v>119</v>
      </c>
    </row>
    <row r="1056" spans="6:6" x14ac:dyDescent="0.35">
      <c r="F1056" t="s">
        <v>1</v>
      </c>
    </row>
    <row r="1057" spans="6:6" x14ac:dyDescent="0.35">
      <c r="F1057" t="s">
        <v>2</v>
      </c>
    </row>
    <row r="1058" spans="6:6" x14ac:dyDescent="0.35">
      <c r="F1058" t="s">
        <v>103</v>
      </c>
    </row>
    <row r="1059" spans="6:6" x14ac:dyDescent="0.35">
      <c r="F1059" t="s">
        <v>4</v>
      </c>
    </row>
    <row r="1060" spans="6:6" x14ac:dyDescent="0.35">
      <c r="F1060" t="s">
        <v>5</v>
      </c>
    </row>
    <row r="1062" spans="6:6" x14ac:dyDescent="0.35">
      <c r="F1062" t="s">
        <v>6</v>
      </c>
    </row>
    <row r="1063" spans="6:6" x14ac:dyDescent="0.35">
      <c r="F1063" t="s">
        <v>7</v>
      </c>
    </row>
    <row r="1064" spans="6:6" x14ac:dyDescent="0.35">
      <c r="F1064">
        <v>24</v>
      </c>
    </row>
    <row r="1065" spans="6:6" x14ac:dyDescent="0.35">
      <c r="F1065">
        <v>88939</v>
      </c>
    </row>
    <row r="1066" spans="6:6" x14ac:dyDescent="0.35">
      <c r="F1066" t="s">
        <v>120</v>
      </c>
    </row>
    <row r="1067" spans="6:6" x14ac:dyDescent="0.35">
      <c r="F1067" t="s">
        <v>9</v>
      </c>
    </row>
    <row r="1069" spans="6:6" x14ac:dyDescent="0.35">
      <c r="F1069" t="s">
        <v>10</v>
      </c>
    </row>
    <row r="1070" spans="6:6" x14ac:dyDescent="0.35">
      <c r="F1070">
        <v>2.5000000000000001E-5</v>
      </c>
    </row>
    <row r="1071" spans="6:6" x14ac:dyDescent="0.35">
      <c r="F1071">
        <v>2.0799999999999998E-3</v>
      </c>
    </row>
    <row r="1072" spans="6:6" x14ac:dyDescent="0.35">
      <c r="F1072" t="s">
        <v>121</v>
      </c>
    </row>
    <row r="1074" spans="6:6" x14ac:dyDescent="0.35">
      <c r="F1074" t="s">
        <v>1</v>
      </c>
    </row>
    <row r="1075" spans="6:6" x14ac:dyDescent="0.35">
      <c r="F1075" t="s">
        <v>2</v>
      </c>
    </row>
    <row r="1076" spans="6:6" x14ac:dyDescent="0.35">
      <c r="F1076" t="s">
        <v>103</v>
      </c>
    </row>
    <row r="1077" spans="6:6" x14ac:dyDescent="0.35">
      <c r="F1077" t="s">
        <v>4</v>
      </c>
    </row>
    <row r="1078" spans="6:6" x14ac:dyDescent="0.35">
      <c r="F1078" t="s">
        <v>5</v>
      </c>
    </row>
    <row r="1080" spans="6:6" x14ac:dyDescent="0.35">
      <c r="F1080" t="s">
        <v>6</v>
      </c>
    </row>
    <row r="1081" spans="6:6" x14ac:dyDescent="0.35">
      <c r="F1081" t="s">
        <v>7</v>
      </c>
    </row>
    <row r="1082" spans="6:6" x14ac:dyDescent="0.35">
      <c r="F1082">
        <v>24</v>
      </c>
    </row>
    <row r="1083" spans="6:6" x14ac:dyDescent="0.35">
      <c r="F1083">
        <v>95381</v>
      </c>
    </row>
    <row r="1084" spans="6:6" x14ac:dyDescent="0.35">
      <c r="F1084" t="s">
        <v>122</v>
      </c>
    </row>
    <row r="1085" spans="6:6" x14ac:dyDescent="0.35">
      <c r="F1085" t="s">
        <v>9</v>
      </c>
    </row>
    <row r="1087" spans="6:6" x14ac:dyDescent="0.35">
      <c r="F1087" t="s">
        <v>10</v>
      </c>
    </row>
    <row r="1088" spans="6:6" x14ac:dyDescent="0.35">
      <c r="F1088">
        <v>2.0000000000000002E-5</v>
      </c>
    </row>
    <row r="1089" spans="6:6" x14ac:dyDescent="0.35">
      <c r="F1089">
        <v>2.7100000000000002E-3</v>
      </c>
    </row>
    <row r="1090" spans="6:6" x14ac:dyDescent="0.35">
      <c r="F1090" t="s">
        <v>123</v>
      </c>
    </row>
    <row r="1091" spans="6:6" x14ac:dyDescent="0.35">
      <c r="F1091" t="s">
        <v>124</v>
      </c>
    </row>
    <row r="1093" spans="6:6" x14ac:dyDescent="0.35">
      <c r="F1093" t="s">
        <v>1</v>
      </c>
    </row>
    <row r="1094" spans="6:6" x14ac:dyDescent="0.35">
      <c r="F1094" t="s">
        <v>2</v>
      </c>
    </row>
    <row r="1095" spans="6:6" x14ac:dyDescent="0.35">
      <c r="F1095" t="s">
        <v>125</v>
      </c>
    </row>
    <row r="1096" spans="6:6" x14ac:dyDescent="0.35">
      <c r="F1096" t="s">
        <v>4</v>
      </c>
    </row>
    <row r="1097" spans="6:6" x14ac:dyDescent="0.35">
      <c r="F1097" t="s">
        <v>5</v>
      </c>
    </row>
    <row r="1099" spans="6:6" x14ac:dyDescent="0.35">
      <c r="F1099" t="s">
        <v>6</v>
      </c>
    </row>
    <row r="1100" spans="6:6" x14ac:dyDescent="0.35">
      <c r="F1100" t="s">
        <v>7</v>
      </c>
    </row>
    <row r="1101" spans="6:6" x14ac:dyDescent="0.35">
      <c r="F1101">
        <v>23</v>
      </c>
    </row>
    <row r="1102" spans="6:6" x14ac:dyDescent="0.35">
      <c r="F1102">
        <v>112004</v>
      </c>
    </row>
    <row r="1103" spans="6:6" x14ac:dyDescent="0.35">
      <c r="F1103" t="s">
        <v>126</v>
      </c>
    </row>
    <row r="1104" spans="6:6" x14ac:dyDescent="0.35">
      <c r="F1104" t="s">
        <v>33</v>
      </c>
    </row>
    <row r="1106" spans="6:6" x14ac:dyDescent="0.35">
      <c r="F1106" t="s">
        <v>10</v>
      </c>
    </row>
    <row r="1107" spans="6:6" x14ac:dyDescent="0.35">
      <c r="F1107">
        <v>2.5000000000000001E-5</v>
      </c>
    </row>
    <row r="1108" spans="6:6" x14ac:dyDescent="0.35">
      <c r="F1108">
        <v>2.856E-3</v>
      </c>
    </row>
    <row r="1109" spans="6:6" x14ac:dyDescent="0.35">
      <c r="F1109" t="s">
        <v>127</v>
      </c>
    </row>
    <row r="1111" spans="6:6" x14ac:dyDescent="0.35">
      <c r="F1111" t="s">
        <v>1</v>
      </c>
    </row>
    <row r="1112" spans="6:6" x14ac:dyDescent="0.35">
      <c r="F1112" t="s">
        <v>2</v>
      </c>
    </row>
    <row r="1113" spans="6:6" x14ac:dyDescent="0.35">
      <c r="F1113" t="s">
        <v>125</v>
      </c>
    </row>
    <row r="1114" spans="6:6" x14ac:dyDescent="0.35">
      <c r="F1114" t="s">
        <v>4</v>
      </c>
    </row>
    <row r="1115" spans="6:6" x14ac:dyDescent="0.35">
      <c r="F1115" t="s">
        <v>5</v>
      </c>
    </row>
    <row r="1117" spans="6:6" x14ac:dyDescent="0.35">
      <c r="F1117" t="s">
        <v>6</v>
      </c>
    </row>
    <row r="1118" spans="6:6" x14ac:dyDescent="0.35">
      <c r="F1118" t="s">
        <v>7</v>
      </c>
    </row>
    <row r="1119" spans="6:6" x14ac:dyDescent="0.35">
      <c r="F1119">
        <v>25</v>
      </c>
    </row>
    <row r="1120" spans="6:6" x14ac:dyDescent="0.35">
      <c r="F1120">
        <v>94023</v>
      </c>
    </row>
    <row r="1121" spans="6:6" x14ac:dyDescent="0.35">
      <c r="F1121" t="s">
        <v>128</v>
      </c>
    </row>
    <row r="1122" spans="6:6" x14ac:dyDescent="0.35">
      <c r="F1122" t="s">
        <v>9</v>
      </c>
    </row>
    <row r="1124" spans="6:6" x14ac:dyDescent="0.35">
      <c r="F1124" t="s">
        <v>10</v>
      </c>
    </row>
    <row r="1125" spans="6:6" x14ac:dyDescent="0.35">
      <c r="F1125">
        <v>2.0999999999999999E-5</v>
      </c>
    </row>
    <row r="1126" spans="6:6" x14ac:dyDescent="0.35">
      <c r="F1126">
        <v>5.2950000000000002E-3</v>
      </c>
    </row>
    <row r="1127" spans="6:6" x14ac:dyDescent="0.35">
      <c r="F1127" t="s">
        <v>129</v>
      </c>
    </row>
    <row r="1129" spans="6:6" x14ac:dyDescent="0.35">
      <c r="F1129" t="s">
        <v>1</v>
      </c>
    </row>
    <row r="1130" spans="6:6" x14ac:dyDescent="0.35">
      <c r="F1130" t="s">
        <v>2</v>
      </c>
    </row>
    <row r="1131" spans="6:6" x14ac:dyDescent="0.35">
      <c r="F1131" t="s">
        <v>125</v>
      </c>
    </row>
    <row r="1132" spans="6:6" x14ac:dyDescent="0.35">
      <c r="F1132" t="s">
        <v>4</v>
      </c>
    </row>
    <row r="1133" spans="6:6" x14ac:dyDescent="0.35">
      <c r="F1133" t="s">
        <v>5</v>
      </c>
    </row>
    <row r="1135" spans="6:6" x14ac:dyDescent="0.35">
      <c r="F1135" t="s">
        <v>6</v>
      </c>
    </row>
    <row r="1136" spans="6:6" x14ac:dyDescent="0.35">
      <c r="F1136" t="s">
        <v>7</v>
      </c>
    </row>
    <row r="1137" spans="6:6" x14ac:dyDescent="0.35">
      <c r="F1137">
        <v>24</v>
      </c>
    </row>
    <row r="1138" spans="6:6" x14ac:dyDescent="0.35">
      <c r="F1138">
        <v>90689</v>
      </c>
    </row>
    <row r="1139" spans="6:6" x14ac:dyDescent="0.35">
      <c r="F1139" t="s">
        <v>130</v>
      </c>
    </row>
    <row r="1140" spans="6:6" x14ac:dyDescent="0.35">
      <c r="F1140" t="s">
        <v>9</v>
      </c>
    </row>
    <row r="1142" spans="6:6" x14ac:dyDescent="0.35">
      <c r="F1142" t="s">
        <v>10</v>
      </c>
    </row>
    <row r="1143" spans="6:6" x14ac:dyDescent="0.35">
      <c r="F1143">
        <v>2.5000000000000001E-5</v>
      </c>
    </row>
    <row r="1144" spans="6:6" x14ac:dyDescent="0.35">
      <c r="F1144">
        <v>2.6389999999999999E-3</v>
      </c>
    </row>
    <row r="1145" spans="6:6" x14ac:dyDescent="0.35">
      <c r="F1145" t="s">
        <v>131</v>
      </c>
    </row>
    <row r="1147" spans="6:6" x14ac:dyDescent="0.35">
      <c r="F1147" t="s">
        <v>1</v>
      </c>
    </row>
    <row r="1148" spans="6:6" x14ac:dyDescent="0.35">
      <c r="F1148" t="s">
        <v>2</v>
      </c>
    </row>
    <row r="1149" spans="6:6" x14ac:dyDescent="0.35">
      <c r="F1149" t="s">
        <v>125</v>
      </c>
    </row>
    <row r="1150" spans="6:6" x14ac:dyDescent="0.35">
      <c r="F1150" t="s">
        <v>4</v>
      </c>
    </row>
    <row r="1151" spans="6:6" x14ac:dyDescent="0.35">
      <c r="F1151" t="s">
        <v>5</v>
      </c>
    </row>
    <row r="1153" spans="6:6" x14ac:dyDescent="0.35">
      <c r="F1153" t="s">
        <v>6</v>
      </c>
    </row>
    <row r="1154" spans="6:6" x14ac:dyDescent="0.35">
      <c r="F1154" t="s">
        <v>7</v>
      </c>
    </row>
    <row r="1155" spans="6:6" x14ac:dyDescent="0.35">
      <c r="F1155">
        <v>22</v>
      </c>
    </row>
    <row r="1156" spans="6:6" x14ac:dyDescent="0.35">
      <c r="F1156">
        <v>108949</v>
      </c>
    </row>
    <row r="1157" spans="6:6" x14ac:dyDescent="0.35">
      <c r="F1157" t="s">
        <v>132</v>
      </c>
    </row>
    <row r="1158" spans="6:6" x14ac:dyDescent="0.35">
      <c r="F1158" t="s">
        <v>33</v>
      </c>
    </row>
    <row r="1160" spans="6:6" x14ac:dyDescent="0.35">
      <c r="F1160" t="s">
        <v>10</v>
      </c>
    </row>
    <row r="1161" spans="6:6" x14ac:dyDescent="0.35">
      <c r="F1161">
        <v>2.0999999999999999E-5</v>
      </c>
    </row>
    <row r="1162" spans="6:6" x14ac:dyDescent="0.35">
      <c r="F1162">
        <v>4.5310000000000003E-3</v>
      </c>
    </row>
    <row r="1163" spans="6:6" x14ac:dyDescent="0.35">
      <c r="F1163" t="s">
        <v>133</v>
      </c>
    </row>
    <row r="1165" spans="6:6" x14ac:dyDescent="0.35">
      <c r="F1165" t="s">
        <v>1</v>
      </c>
    </row>
    <row r="1166" spans="6:6" x14ac:dyDescent="0.35">
      <c r="F1166" t="s">
        <v>2</v>
      </c>
    </row>
    <row r="1167" spans="6:6" x14ac:dyDescent="0.35">
      <c r="F1167" t="s">
        <v>125</v>
      </c>
    </row>
    <row r="1168" spans="6:6" x14ac:dyDescent="0.35">
      <c r="F1168" t="s">
        <v>4</v>
      </c>
    </row>
    <row r="1169" spans="6:6" x14ac:dyDescent="0.35">
      <c r="F1169" t="s">
        <v>5</v>
      </c>
    </row>
    <row r="1171" spans="6:6" x14ac:dyDescent="0.35">
      <c r="F1171" t="s">
        <v>6</v>
      </c>
    </row>
    <row r="1172" spans="6:6" x14ac:dyDescent="0.35">
      <c r="F1172" t="s">
        <v>7</v>
      </c>
    </row>
    <row r="1173" spans="6:6" x14ac:dyDescent="0.35">
      <c r="F1173">
        <v>24</v>
      </c>
    </row>
    <row r="1174" spans="6:6" x14ac:dyDescent="0.35">
      <c r="F1174">
        <v>93552</v>
      </c>
    </row>
    <row r="1175" spans="6:6" x14ac:dyDescent="0.35">
      <c r="F1175" t="s">
        <v>134</v>
      </c>
    </row>
    <row r="1176" spans="6:6" x14ac:dyDescent="0.35">
      <c r="F1176" t="s">
        <v>9</v>
      </c>
    </row>
    <row r="1178" spans="6:6" x14ac:dyDescent="0.35">
      <c r="F1178" t="s">
        <v>10</v>
      </c>
    </row>
    <row r="1179" spans="6:6" x14ac:dyDescent="0.35">
      <c r="F1179">
        <v>2.5999999999999998E-5</v>
      </c>
    </row>
    <row r="1180" spans="6:6" x14ac:dyDescent="0.35">
      <c r="F1180">
        <v>3.3519999999999999E-3</v>
      </c>
    </row>
    <row r="1181" spans="6:6" x14ac:dyDescent="0.35">
      <c r="F1181" t="s">
        <v>135</v>
      </c>
    </row>
    <row r="1183" spans="6:6" x14ac:dyDescent="0.35">
      <c r="F1183" t="s">
        <v>1</v>
      </c>
    </row>
    <row r="1184" spans="6:6" x14ac:dyDescent="0.35">
      <c r="F1184" t="s">
        <v>2</v>
      </c>
    </row>
    <row r="1185" spans="6:6" x14ac:dyDescent="0.35">
      <c r="F1185" t="s">
        <v>125</v>
      </c>
    </row>
    <row r="1186" spans="6:6" x14ac:dyDescent="0.35">
      <c r="F1186" t="s">
        <v>4</v>
      </c>
    </row>
    <row r="1187" spans="6:6" x14ac:dyDescent="0.35">
      <c r="F1187" t="s">
        <v>5</v>
      </c>
    </row>
    <row r="1189" spans="6:6" x14ac:dyDescent="0.35">
      <c r="F1189" t="s">
        <v>6</v>
      </c>
    </row>
    <row r="1190" spans="6:6" x14ac:dyDescent="0.35">
      <c r="F1190" t="s">
        <v>7</v>
      </c>
    </row>
    <row r="1191" spans="6:6" x14ac:dyDescent="0.35">
      <c r="F1191">
        <v>24</v>
      </c>
    </row>
    <row r="1192" spans="6:6" x14ac:dyDescent="0.35">
      <c r="F1192">
        <v>109290</v>
      </c>
    </row>
    <row r="1193" spans="6:6" x14ac:dyDescent="0.35">
      <c r="F1193" t="s">
        <v>136</v>
      </c>
    </row>
    <row r="1194" spans="6:6" x14ac:dyDescent="0.35">
      <c r="F1194" t="s">
        <v>33</v>
      </c>
    </row>
    <row r="1196" spans="6:6" x14ac:dyDescent="0.35">
      <c r="F1196" t="s">
        <v>10</v>
      </c>
    </row>
    <row r="1197" spans="6:6" x14ac:dyDescent="0.35">
      <c r="F1197">
        <v>2.4000000000000001E-5</v>
      </c>
    </row>
    <row r="1198" spans="6:6" x14ac:dyDescent="0.35">
      <c r="F1198">
        <v>2.8E-3</v>
      </c>
    </row>
    <row r="1199" spans="6:6" x14ac:dyDescent="0.35">
      <c r="F1199" t="s">
        <v>137</v>
      </c>
    </row>
    <row r="1201" spans="6:6" x14ac:dyDescent="0.35">
      <c r="F1201" t="s">
        <v>1</v>
      </c>
    </row>
    <row r="1202" spans="6:6" x14ac:dyDescent="0.35">
      <c r="F1202" t="s">
        <v>2</v>
      </c>
    </row>
    <row r="1203" spans="6:6" x14ac:dyDescent="0.35">
      <c r="F1203" t="s">
        <v>125</v>
      </c>
    </row>
    <row r="1204" spans="6:6" x14ac:dyDescent="0.35">
      <c r="F1204" t="s">
        <v>4</v>
      </c>
    </row>
    <row r="1205" spans="6:6" x14ac:dyDescent="0.35">
      <c r="F1205" t="s">
        <v>5</v>
      </c>
    </row>
    <row r="1207" spans="6:6" x14ac:dyDescent="0.35">
      <c r="F1207" t="s">
        <v>6</v>
      </c>
    </row>
    <row r="1208" spans="6:6" x14ac:dyDescent="0.35">
      <c r="F1208" t="s">
        <v>7</v>
      </c>
    </row>
    <row r="1209" spans="6:6" x14ac:dyDescent="0.35">
      <c r="F1209">
        <v>25</v>
      </c>
    </row>
    <row r="1210" spans="6:6" x14ac:dyDescent="0.35">
      <c r="F1210">
        <v>93970</v>
      </c>
    </row>
    <row r="1211" spans="6:6" x14ac:dyDescent="0.35">
      <c r="F1211" t="s">
        <v>138</v>
      </c>
    </row>
    <row r="1212" spans="6:6" x14ac:dyDescent="0.35">
      <c r="F1212" t="s">
        <v>9</v>
      </c>
    </row>
    <row r="1214" spans="6:6" x14ac:dyDescent="0.35">
      <c r="F1214" t="s">
        <v>10</v>
      </c>
    </row>
    <row r="1215" spans="6:6" x14ac:dyDescent="0.35">
      <c r="F1215">
        <v>1.8E-5</v>
      </c>
    </row>
    <row r="1216" spans="6:6" x14ac:dyDescent="0.35">
      <c r="F1216">
        <v>1.9380000000000001E-3</v>
      </c>
    </row>
    <row r="1217" spans="6:6" x14ac:dyDescent="0.35">
      <c r="F1217" t="s">
        <v>139</v>
      </c>
    </row>
    <row r="1219" spans="6:6" x14ac:dyDescent="0.35">
      <c r="F1219" t="s">
        <v>1</v>
      </c>
    </row>
    <row r="1220" spans="6:6" x14ac:dyDescent="0.35">
      <c r="F1220" t="s">
        <v>2</v>
      </c>
    </row>
    <row r="1221" spans="6:6" x14ac:dyDescent="0.35">
      <c r="F1221" t="s">
        <v>125</v>
      </c>
    </row>
    <row r="1222" spans="6:6" x14ac:dyDescent="0.35">
      <c r="F1222" t="s">
        <v>4</v>
      </c>
    </row>
    <row r="1223" spans="6:6" x14ac:dyDescent="0.35">
      <c r="F1223" t="s">
        <v>5</v>
      </c>
    </row>
    <row r="1225" spans="6:6" x14ac:dyDescent="0.35">
      <c r="F1225" t="s">
        <v>6</v>
      </c>
    </row>
    <row r="1226" spans="6:6" x14ac:dyDescent="0.35">
      <c r="F1226" t="s">
        <v>7</v>
      </c>
    </row>
    <row r="1227" spans="6:6" x14ac:dyDescent="0.35">
      <c r="F1227">
        <v>26</v>
      </c>
    </row>
    <row r="1228" spans="6:6" x14ac:dyDescent="0.35">
      <c r="F1228">
        <v>95979</v>
      </c>
    </row>
    <row r="1229" spans="6:6" x14ac:dyDescent="0.35">
      <c r="F1229" t="s">
        <v>140</v>
      </c>
    </row>
    <row r="1230" spans="6:6" x14ac:dyDescent="0.35">
      <c r="F1230" t="s">
        <v>9</v>
      </c>
    </row>
    <row r="1232" spans="6:6" x14ac:dyDescent="0.35">
      <c r="F1232" t="s">
        <v>10</v>
      </c>
    </row>
    <row r="1233" spans="6:6" x14ac:dyDescent="0.35">
      <c r="F1233">
        <v>1.7E-5</v>
      </c>
    </row>
    <row r="1234" spans="6:6" x14ac:dyDescent="0.35">
      <c r="F1234">
        <v>2.0379999999999999E-3</v>
      </c>
    </row>
    <row r="1235" spans="6:6" x14ac:dyDescent="0.35">
      <c r="F1235" t="s">
        <v>141</v>
      </c>
    </row>
    <row r="1237" spans="6:6" x14ac:dyDescent="0.35">
      <c r="F1237" t="s">
        <v>1</v>
      </c>
    </row>
    <row r="1238" spans="6:6" x14ac:dyDescent="0.35">
      <c r="F1238" t="s">
        <v>2</v>
      </c>
    </row>
    <row r="1239" spans="6:6" x14ac:dyDescent="0.35">
      <c r="F1239" t="s">
        <v>125</v>
      </c>
    </row>
    <row r="1240" spans="6:6" x14ac:dyDescent="0.35">
      <c r="F1240" t="s">
        <v>4</v>
      </c>
    </row>
    <row r="1241" spans="6:6" x14ac:dyDescent="0.35">
      <c r="F1241" t="s">
        <v>5</v>
      </c>
    </row>
    <row r="1243" spans="6:6" x14ac:dyDescent="0.35">
      <c r="F1243" t="s">
        <v>6</v>
      </c>
    </row>
    <row r="1244" spans="6:6" x14ac:dyDescent="0.35">
      <c r="F1244" t="s">
        <v>7</v>
      </c>
    </row>
    <row r="1245" spans="6:6" x14ac:dyDescent="0.35">
      <c r="F1245">
        <v>25</v>
      </c>
    </row>
    <row r="1246" spans="6:6" x14ac:dyDescent="0.35">
      <c r="F1246">
        <v>109811</v>
      </c>
    </row>
    <row r="1247" spans="6:6" x14ac:dyDescent="0.35">
      <c r="F1247" t="s">
        <v>142</v>
      </c>
    </row>
    <row r="1248" spans="6:6" x14ac:dyDescent="0.35">
      <c r="F1248" t="s">
        <v>33</v>
      </c>
    </row>
    <row r="1250" spans="6:6" x14ac:dyDescent="0.35">
      <c r="F1250" t="s">
        <v>10</v>
      </c>
    </row>
    <row r="1251" spans="6:6" x14ac:dyDescent="0.35">
      <c r="F1251">
        <v>2.0999999999999999E-5</v>
      </c>
    </row>
    <row r="1252" spans="6:6" x14ac:dyDescent="0.35">
      <c r="F1252">
        <v>5.5649999999999996E-3</v>
      </c>
    </row>
    <row r="1253" spans="6:6" x14ac:dyDescent="0.35">
      <c r="F1253" t="s">
        <v>143</v>
      </c>
    </row>
    <row r="1255" spans="6:6" x14ac:dyDescent="0.35">
      <c r="F1255" t="s">
        <v>1</v>
      </c>
    </row>
    <row r="1256" spans="6:6" x14ac:dyDescent="0.35">
      <c r="F1256" t="s">
        <v>2</v>
      </c>
    </row>
    <row r="1257" spans="6:6" x14ac:dyDescent="0.35">
      <c r="F1257" t="s">
        <v>125</v>
      </c>
    </row>
    <row r="1258" spans="6:6" x14ac:dyDescent="0.35">
      <c r="F1258" t="s">
        <v>4</v>
      </c>
    </row>
    <row r="1259" spans="6:6" x14ac:dyDescent="0.35">
      <c r="F1259" t="s">
        <v>5</v>
      </c>
    </row>
    <row r="1261" spans="6:6" x14ac:dyDescent="0.35">
      <c r="F1261" t="s">
        <v>6</v>
      </c>
    </row>
    <row r="1262" spans="6:6" x14ac:dyDescent="0.35">
      <c r="F1262" t="s">
        <v>7</v>
      </c>
    </row>
    <row r="1263" spans="6:6" x14ac:dyDescent="0.35">
      <c r="F1263">
        <v>25</v>
      </c>
    </row>
    <row r="1264" spans="6:6" x14ac:dyDescent="0.35">
      <c r="F1264">
        <v>93704</v>
      </c>
    </row>
    <row r="1265" spans="6:6" x14ac:dyDescent="0.35">
      <c r="F1265" t="s">
        <v>144</v>
      </c>
    </row>
    <row r="1266" spans="6:6" x14ac:dyDescent="0.35">
      <c r="F1266" t="s">
        <v>9</v>
      </c>
    </row>
    <row r="1268" spans="6:6" x14ac:dyDescent="0.35">
      <c r="F1268" t="s">
        <v>10</v>
      </c>
    </row>
    <row r="1269" spans="6:6" x14ac:dyDescent="0.35">
      <c r="F1269">
        <v>2.5999999999999998E-5</v>
      </c>
    </row>
    <row r="1270" spans="6:6" x14ac:dyDescent="0.35">
      <c r="F1270">
        <v>3.4380000000000001E-3</v>
      </c>
    </row>
    <row r="1271" spans="6:6" x14ac:dyDescent="0.35">
      <c r="F1271" t="s">
        <v>145</v>
      </c>
    </row>
    <row r="1272" spans="6:6" x14ac:dyDescent="0.35">
      <c r="F1272" t="s">
        <v>146</v>
      </c>
    </row>
    <row r="1274" spans="6:6" x14ac:dyDescent="0.35">
      <c r="F1274" t="s">
        <v>1</v>
      </c>
    </row>
    <row r="1275" spans="6:6" x14ac:dyDescent="0.35">
      <c r="F1275" t="s">
        <v>2</v>
      </c>
    </row>
    <row r="1276" spans="6:6" x14ac:dyDescent="0.35">
      <c r="F1276" t="s">
        <v>147</v>
      </c>
    </row>
    <row r="1277" spans="6:6" x14ac:dyDescent="0.35">
      <c r="F1277" t="s">
        <v>4</v>
      </c>
    </row>
    <row r="1278" spans="6:6" x14ac:dyDescent="0.35">
      <c r="F1278" t="s">
        <v>5</v>
      </c>
    </row>
    <row r="1280" spans="6:6" x14ac:dyDescent="0.35">
      <c r="F1280" t="s">
        <v>6</v>
      </c>
    </row>
    <row r="1281" spans="6:6" x14ac:dyDescent="0.35">
      <c r="F1281" t="s">
        <v>7</v>
      </c>
    </row>
    <row r="1282" spans="6:6" x14ac:dyDescent="0.35">
      <c r="F1282">
        <v>24</v>
      </c>
    </row>
    <row r="1283" spans="6:6" x14ac:dyDescent="0.35">
      <c r="F1283">
        <v>91899</v>
      </c>
    </row>
    <row r="1284" spans="6:6" x14ac:dyDescent="0.35">
      <c r="F1284" t="s">
        <v>148</v>
      </c>
    </row>
    <row r="1285" spans="6:6" x14ac:dyDescent="0.35">
      <c r="F1285" t="s">
        <v>9</v>
      </c>
    </row>
    <row r="1287" spans="6:6" x14ac:dyDescent="0.35">
      <c r="F1287" t="s">
        <v>10</v>
      </c>
    </row>
    <row r="1288" spans="6:6" x14ac:dyDescent="0.35">
      <c r="F1288">
        <v>2.0999999999999999E-5</v>
      </c>
    </row>
    <row r="1289" spans="6:6" x14ac:dyDescent="0.35">
      <c r="F1289">
        <v>2.137E-3</v>
      </c>
    </row>
    <row r="1290" spans="6:6" x14ac:dyDescent="0.35">
      <c r="F1290" t="s">
        <v>149</v>
      </c>
    </row>
    <row r="1292" spans="6:6" x14ac:dyDescent="0.35">
      <c r="F1292" t="s">
        <v>1</v>
      </c>
    </row>
    <row r="1293" spans="6:6" x14ac:dyDescent="0.35">
      <c r="F1293" t="s">
        <v>2</v>
      </c>
    </row>
    <row r="1294" spans="6:6" x14ac:dyDescent="0.35">
      <c r="F1294" t="s">
        <v>147</v>
      </c>
    </row>
    <row r="1295" spans="6:6" x14ac:dyDescent="0.35">
      <c r="F1295" t="s">
        <v>4</v>
      </c>
    </row>
    <row r="1296" spans="6:6" x14ac:dyDescent="0.35">
      <c r="F1296" t="s">
        <v>5</v>
      </c>
    </row>
    <row r="1298" spans="6:6" x14ac:dyDescent="0.35">
      <c r="F1298" t="s">
        <v>6</v>
      </c>
    </row>
    <row r="1299" spans="6:6" x14ac:dyDescent="0.35">
      <c r="F1299" t="s">
        <v>7</v>
      </c>
    </row>
    <row r="1300" spans="6:6" x14ac:dyDescent="0.35">
      <c r="F1300">
        <v>24</v>
      </c>
    </row>
    <row r="1301" spans="6:6" x14ac:dyDescent="0.35">
      <c r="F1301">
        <v>102257</v>
      </c>
    </row>
    <row r="1302" spans="6:6" x14ac:dyDescent="0.35">
      <c r="F1302" t="s">
        <v>150</v>
      </c>
    </row>
    <row r="1303" spans="6:6" x14ac:dyDescent="0.35">
      <c r="F1303" t="s">
        <v>33</v>
      </c>
    </row>
    <row r="1305" spans="6:6" x14ac:dyDescent="0.35">
      <c r="F1305" t="s">
        <v>10</v>
      </c>
    </row>
    <row r="1306" spans="6:6" x14ac:dyDescent="0.35">
      <c r="F1306">
        <v>2.1999999999999999E-5</v>
      </c>
    </row>
    <row r="1307" spans="6:6" x14ac:dyDescent="0.35">
      <c r="F1307">
        <v>3.0699999999999998E-3</v>
      </c>
    </row>
    <row r="1308" spans="6:6" x14ac:dyDescent="0.35">
      <c r="F1308" t="s">
        <v>151</v>
      </c>
    </row>
    <row r="1310" spans="6:6" x14ac:dyDescent="0.35">
      <c r="F1310" t="s">
        <v>1</v>
      </c>
    </row>
    <row r="1311" spans="6:6" x14ac:dyDescent="0.35">
      <c r="F1311" t="s">
        <v>2</v>
      </c>
    </row>
    <row r="1312" spans="6:6" x14ac:dyDescent="0.35">
      <c r="F1312" t="s">
        <v>147</v>
      </c>
    </row>
    <row r="1313" spans="6:6" x14ac:dyDescent="0.35">
      <c r="F1313" t="s">
        <v>4</v>
      </c>
    </row>
    <row r="1314" spans="6:6" x14ac:dyDescent="0.35">
      <c r="F1314" t="s">
        <v>5</v>
      </c>
    </row>
    <row r="1316" spans="6:6" x14ac:dyDescent="0.35">
      <c r="F1316" t="s">
        <v>6</v>
      </c>
    </row>
    <row r="1317" spans="6:6" x14ac:dyDescent="0.35">
      <c r="F1317" t="s">
        <v>7</v>
      </c>
    </row>
    <row r="1318" spans="6:6" x14ac:dyDescent="0.35">
      <c r="F1318">
        <v>25</v>
      </c>
    </row>
    <row r="1319" spans="6:6" x14ac:dyDescent="0.35">
      <c r="F1319">
        <v>97158</v>
      </c>
    </row>
    <row r="1320" spans="6:6" x14ac:dyDescent="0.35">
      <c r="F1320" t="s">
        <v>152</v>
      </c>
    </row>
    <row r="1321" spans="6:6" x14ac:dyDescent="0.35">
      <c r="F1321" t="s">
        <v>9</v>
      </c>
    </row>
    <row r="1323" spans="6:6" x14ac:dyDescent="0.35">
      <c r="F1323" t="s">
        <v>10</v>
      </c>
    </row>
    <row r="1324" spans="6:6" x14ac:dyDescent="0.35">
      <c r="F1324">
        <v>2.4000000000000001E-5</v>
      </c>
    </row>
    <row r="1325" spans="6:6" x14ac:dyDescent="0.35">
      <c r="F1325">
        <v>4.5729999999999998E-3</v>
      </c>
    </row>
    <row r="1326" spans="6:6" x14ac:dyDescent="0.35">
      <c r="F1326" t="s">
        <v>153</v>
      </c>
    </row>
    <row r="1328" spans="6:6" x14ac:dyDescent="0.35">
      <c r="F1328" t="s">
        <v>1</v>
      </c>
    </row>
    <row r="1329" spans="6:6" x14ac:dyDescent="0.35">
      <c r="F1329" t="s">
        <v>2</v>
      </c>
    </row>
    <row r="1330" spans="6:6" x14ac:dyDescent="0.35">
      <c r="F1330" t="s">
        <v>147</v>
      </c>
    </row>
    <row r="1331" spans="6:6" x14ac:dyDescent="0.35">
      <c r="F1331" t="s">
        <v>4</v>
      </c>
    </row>
    <row r="1332" spans="6:6" x14ac:dyDescent="0.35">
      <c r="F1332" t="s">
        <v>5</v>
      </c>
    </row>
    <row r="1334" spans="6:6" x14ac:dyDescent="0.35">
      <c r="F1334" t="s">
        <v>6</v>
      </c>
    </row>
    <row r="1335" spans="6:6" x14ac:dyDescent="0.35">
      <c r="F1335" t="s">
        <v>7</v>
      </c>
    </row>
    <row r="1336" spans="6:6" x14ac:dyDescent="0.35">
      <c r="F1336">
        <v>26</v>
      </c>
    </row>
    <row r="1337" spans="6:6" x14ac:dyDescent="0.35">
      <c r="F1337">
        <v>93985</v>
      </c>
    </row>
    <row r="1338" spans="6:6" x14ac:dyDescent="0.35">
      <c r="F1338" t="s">
        <v>154</v>
      </c>
    </row>
    <row r="1339" spans="6:6" x14ac:dyDescent="0.35">
      <c r="F1339" t="s">
        <v>9</v>
      </c>
    </row>
    <row r="1341" spans="6:6" x14ac:dyDescent="0.35">
      <c r="F1341" t="s">
        <v>10</v>
      </c>
    </row>
    <row r="1342" spans="6:6" x14ac:dyDescent="0.35">
      <c r="F1342">
        <v>3.3000000000000003E-5</v>
      </c>
    </row>
    <row r="1343" spans="6:6" x14ac:dyDescent="0.35">
      <c r="F1343">
        <v>2.921E-3</v>
      </c>
    </row>
    <row r="1344" spans="6:6" x14ac:dyDescent="0.35">
      <c r="F1344" t="s">
        <v>155</v>
      </c>
    </row>
    <row r="1346" spans="6:6" x14ac:dyDescent="0.35">
      <c r="F1346" t="s">
        <v>1</v>
      </c>
    </row>
    <row r="1347" spans="6:6" x14ac:dyDescent="0.35">
      <c r="F1347" t="s">
        <v>2</v>
      </c>
    </row>
    <row r="1348" spans="6:6" x14ac:dyDescent="0.35">
      <c r="F1348" t="s">
        <v>147</v>
      </c>
    </row>
    <row r="1349" spans="6:6" x14ac:dyDescent="0.35">
      <c r="F1349" t="s">
        <v>4</v>
      </c>
    </row>
    <row r="1350" spans="6:6" x14ac:dyDescent="0.35">
      <c r="F1350" t="s">
        <v>5</v>
      </c>
    </row>
    <row r="1352" spans="6:6" x14ac:dyDescent="0.35">
      <c r="F1352" t="s">
        <v>6</v>
      </c>
    </row>
    <row r="1353" spans="6:6" x14ac:dyDescent="0.35">
      <c r="F1353" t="s">
        <v>7</v>
      </c>
    </row>
    <row r="1354" spans="6:6" x14ac:dyDescent="0.35">
      <c r="F1354">
        <v>25</v>
      </c>
    </row>
    <row r="1355" spans="6:6" x14ac:dyDescent="0.35">
      <c r="F1355">
        <v>90384</v>
      </c>
    </row>
    <row r="1356" spans="6:6" x14ac:dyDescent="0.35">
      <c r="F1356" t="s">
        <v>156</v>
      </c>
    </row>
    <row r="1357" spans="6:6" x14ac:dyDescent="0.35">
      <c r="F1357" t="s">
        <v>9</v>
      </c>
    </row>
    <row r="1359" spans="6:6" x14ac:dyDescent="0.35">
      <c r="F1359" t="s">
        <v>10</v>
      </c>
    </row>
    <row r="1360" spans="6:6" x14ac:dyDescent="0.35">
      <c r="F1360">
        <v>2.0999999999999999E-5</v>
      </c>
    </row>
    <row r="1361" spans="6:6" x14ac:dyDescent="0.35">
      <c r="F1361">
        <v>4.1830000000000001E-3</v>
      </c>
    </row>
    <row r="1362" spans="6:6" x14ac:dyDescent="0.35">
      <c r="F1362" t="s">
        <v>157</v>
      </c>
    </row>
    <row r="1364" spans="6:6" x14ac:dyDescent="0.35">
      <c r="F1364" t="s">
        <v>1</v>
      </c>
    </row>
    <row r="1365" spans="6:6" x14ac:dyDescent="0.35">
      <c r="F1365" t="s">
        <v>2</v>
      </c>
    </row>
    <row r="1366" spans="6:6" x14ac:dyDescent="0.35">
      <c r="F1366" t="s">
        <v>147</v>
      </c>
    </row>
    <row r="1367" spans="6:6" x14ac:dyDescent="0.35">
      <c r="F1367" t="s">
        <v>4</v>
      </c>
    </row>
    <row r="1368" spans="6:6" x14ac:dyDescent="0.35">
      <c r="F1368" t="s">
        <v>5</v>
      </c>
    </row>
    <row r="1370" spans="6:6" x14ac:dyDescent="0.35">
      <c r="F1370" t="s">
        <v>6</v>
      </c>
    </row>
    <row r="1371" spans="6:6" x14ac:dyDescent="0.35">
      <c r="F1371" t="s">
        <v>7</v>
      </c>
    </row>
    <row r="1372" spans="6:6" x14ac:dyDescent="0.35">
      <c r="F1372">
        <v>28</v>
      </c>
    </row>
    <row r="1373" spans="6:6" x14ac:dyDescent="0.35">
      <c r="F1373">
        <v>94629</v>
      </c>
    </row>
    <row r="1374" spans="6:6" x14ac:dyDescent="0.35">
      <c r="F1374" t="s">
        <v>158</v>
      </c>
    </row>
    <row r="1375" spans="6:6" x14ac:dyDescent="0.35">
      <c r="F1375" t="s">
        <v>9</v>
      </c>
    </row>
    <row r="1377" spans="6:6" x14ac:dyDescent="0.35">
      <c r="F1377" t="s">
        <v>10</v>
      </c>
    </row>
    <row r="1378" spans="6:6" x14ac:dyDescent="0.35">
      <c r="F1378">
        <v>2.1999999999999999E-5</v>
      </c>
    </row>
    <row r="1379" spans="6:6" x14ac:dyDescent="0.35">
      <c r="F1379">
        <v>2.9359999999999998E-3</v>
      </c>
    </row>
    <row r="1380" spans="6:6" x14ac:dyDescent="0.35">
      <c r="F1380" t="s">
        <v>159</v>
      </c>
    </row>
    <row r="1382" spans="6:6" x14ac:dyDescent="0.35">
      <c r="F1382" t="s">
        <v>1</v>
      </c>
    </row>
    <row r="1383" spans="6:6" x14ac:dyDescent="0.35">
      <c r="F1383" t="s">
        <v>2</v>
      </c>
    </row>
    <row r="1384" spans="6:6" x14ac:dyDescent="0.35">
      <c r="F1384" t="s">
        <v>147</v>
      </c>
    </row>
    <row r="1385" spans="6:6" x14ac:dyDescent="0.35">
      <c r="F1385" t="s">
        <v>4</v>
      </c>
    </row>
    <row r="1386" spans="6:6" x14ac:dyDescent="0.35">
      <c r="F1386" t="s">
        <v>5</v>
      </c>
    </row>
    <row r="1388" spans="6:6" x14ac:dyDescent="0.35">
      <c r="F1388" t="s">
        <v>6</v>
      </c>
    </row>
    <row r="1389" spans="6:6" x14ac:dyDescent="0.35">
      <c r="F1389" t="s">
        <v>7</v>
      </c>
    </row>
    <row r="1390" spans="6:6" x14ac:dyDescent="0.35">
      <c r="F1390">
        <v>24</v>
      </c>
    </row>
    <row r="1391" spans="6:6" x14ac:dyDescent="0.35">
      <c r="F1391">
        <v>91885</v>
      </c>
    </row>
    <row r="1392" spans="6:6" x14ac:dyDescent="0.35">
      <c r="F1392" t="s">
        <v>160</v>
      </c>
    </row>
    <row r="1393" spans="6:6" x14ac:dyDescent="0.35">
      <c r="F1393" t="s">
        <v>9</v>
      </c>
    </row>
    <row r="1395" spans="6:6" x14ac:dyDescent="0.35">
      <c r="F1395" t="s">
        <v>10</v>
      </c>
    </row>
    <row r="1396" spans="6:6" x14ac:dyDescent="0.35">
      <c r="F1396">
        <v>2.3E-5</v>
      </c>
    </row>
    <row r="1397" spans="6:6" x14ac:dyDescent="0.35">
      <c r="F1397">
        <v>4.875E-3</v>
      </c>
    </row>
    <row r="1398" spans="6:6" x14ac:dyDescent="0.35">
      <c r="F1398" t="s">
        <v>161</v>
      </c>
    </row>
    <row r="1400" spans="6:6" x14ac:dyDescent="0.35">
      <c r="F1400" t="s">
        <v>1</v>
      </c>
    </row>
    <row r="1401" spans="6:6" x14ac:dyDescent="0.35">
      <c r="F1401" t="s">
        <v>2</v>
      </c>
    </row>
    <row r="1402" spans="6:6" x14ac:dyDescent="0.35">
      <c r="F1402" t="s">
        <v>147</v>
      </c>
    </row>
    <row r="1403" spans="6:6" x14ac:dyDescent="0.35">
      <c r="F1403" t="s">
        <v>4</v>
      </c>
    </row>
    <row r="1404" spans="6:6" x14ac:dyDescent="0.35">
      <c r="F1404" t="s">
        <v>5</v>
      </c>
    </row>
    <row r="1406" spans="6:6" x14ac:dyDescent="0.35">
      <c r="F1406" t="s">
        <v>6</v>
      </c>
    </row>
    <row r="1407" spans="6:6" x14ac:dyDescent="0.35">
      <c r="F1407" t="s">
        <v>7</v>
      </c>
    </row>
    <row r="1408" spans="6:6" x14ac:dyDescent="0.35">
      <c r="F1408">
        <v>25</v>
      </c>
    </row>
    <row r="1409" spans="6:6" x14ac:dyDescent="0.35">
      <c r="F1409">
        <v>87842</v>
      </c>
    </row>
    <row r="1410" spans="6:6" x14ac:dyDescent="0.35">
      <c r="F1410" t="s">
        <v>162</v>
      </c>
    </row>
    <row r="1411" spans="6:6" x14ac:dyDescent="0.35">
      <c r="F1411" t="s">
        <v>9</v>
      </c>
    </row>
    <row r="1413" spans="6:6" x14ac:dyDescent="0.35">
      <c r="F1413" t="s">
        <v>10</v>
      </c>
    </row>
    <row r="1414" spans="6:6" x14ac:dyDescent="0.35">
      <c r="F1414">
        <v>2.1999999999999999E-5</v>
      </c>
    </row>
    <row r="1415" spans="6:6" x14ac:dyDescent="0.35">
      <c r="F1415">
        <v>2.7659999999999998E-3</v>
      </c>
    </row>
    <row r="1416" spans="6:6" x14ac:dyDescent="0.35">
      <c r="F1416" t="s">
        <v>163</v>
      </c>
    </row>
    <row r="1418" spans="6:6" x14ac:dyDescent="0.35">
      <c r="F1418" t="s">
        <v>1</v>
      </c>
    </row>
    <row r="1419" spans="6:6" x14ac:dyDescent="0.35">
      <c r="F1419" t="s">
        <v>2</v>
      </c>
    </row>
    <row r="1420" spans="6:6" x14ac:dyDescent="0.35">
      <c r="F1420" t="s">
        <v>147</v>
      </c>
    </row>
    <row r="1421" spans="6:6" x14ac:dyDescent="0.35">
      <c r="F1421" t="s">
        <v>4</v>
      </c>
    </row>
    <row r="1422" spans="6:6" x14ac:dyDescent="0.35">
      <c r="F1422" t="s">
        <v>5</v>
      </c>
    </row>
    <row r="1424" spans="6:6" x14ac:dyDescent="0.35">
      <c r="F1424" t="s">
        <v>6</v>
      </c>
    </row>
    <row r="1425" spans="6:6" x14ac:dyDescent="0.35">
      <c r="F1425" t="s">
        <v>7</v>
      </c>
    </row>
    <row r="1426" spans="6:6" x14ac:dyDescent="0.35">
      <c r="F1426">
        <v>24</v>
      </c>
    </row>
    <row r="1427" spans="6:6" x14ac:dyDescent="0.35">
      <c r="F1427">
        <v>93104</v>
      </c>
    </row>
    <row r="1428" spans="6:6" x14ac:dyDescent="0.35">
      <c r="F1428" t="s">
        <v>164</v>
      </c>
    </row>
    <row r="1429" spans="6:6" x14ac:dyDescent="0.35">
      <c r="F1429" t="s">
        <v>9</v>
      </c>
    </row>
    <row r="1431" spans="6:6" x14ac:dyDescent="0.35">
      <c r="F1431" t="s">
        <v>10</v>
      </c>
    </row>
    <row r="1432" spans="6:6" x14ac:dyDescent="0.35">
      <c r="F1432">
        <v>2.3E-5</v>
      </c>
    </row>
    <row r="1433" spans="6:6" x14ac:dyDescent="0.35">
      <c r="F1433">
        <v>2.5500000000000002E-3</v>
      </c>
    </row>
    <row r="1434" spans="6:6" x14ac:dyDescent="0.35">
      <c r="F1434" t="s">
        <v>165</v>
      </c>
    </row>
    <row r="1436" spans="6:6" x14ac:dyDescent="0.35">
      <c r="F1436" t="s">
        <v>1</v>
      </c>
    </row>
    <row r="1437" spans="6:6" x14ac:dyDescent="0.35">
      <c r="F1437" t="s">
        <v>2</v>
      </c>
    </row>
    <row r="1438" spans="6:6" x14ac:dyDescent="0.35">
      <c r="F1438" t="s">
        <v>147</v>
      </c>
    </row>
    <row r="1439" spans="6:6" x14ac:dyDescent="0.35">
      <c r="F1439" t="s">
        <v>4</v>
      </c>
    </row>
    <row r="1440" spans="6:6" x14ac:dyDescent="0.35">
      <c r="F1440" t="s">
        <v>5</v>
      </c>
    </row>
    <row r="1442" spans="6:6" x14ac:dyDescent="0.35">
      <c r="F1442" t="s">
        <v>6</v>
      </c>
    </row>
    <row r="1443" spans="6:6" x14ac:dyDescent="0.35">
      <c r="F1443" t="s">
        <v>7</v>
      </c>
    </row>
    <row r="1444" spans="6:6" x14ac:dyDescent="0.35">
      <c r="F1444">
        <v>24</v>
      </c>
    </row>
    <row r="1445" spans="6:6" x14ac:dyDescent="0.35">
      <c r="F1445">
        <v>95239</v>
      </c>
    </row>
    <row r="1446" spans="6:6" x14ac:dyDescent="0.35">
      <c r="F1446" t="s">
        <v>166</v>
      </c>
    </row>
    <row r="1447" spans="6:6" x14ac:dyDescent="0.35">
      <c r="F1447" t="s">
        <v>9</v>
      </c>
    </row>
    <row r="1449" spans="6:6" x14ac:dyDescent="0.35">
      <c r="F1449" t="s">
        <v>10</v>
      </c>
    </row>
    <row r="1450" spans="6:6" x14ac:dyDescent="0.35">
      <c r="F1450">
        <v>2.3E-5</v>
      </c>
    </row>
    <row r="1451" spans="6:6" x14ac:dyDescent="0.35">
      <c r="F1451">
        <v>4.1590000000000004E-3</v>
      </c>
    </row>
    <row r="1452" spans="6:6" x14ac:dyDescent="0.35">
      <c r="F1452" t="s">
        <v>167</v>
      </c>
    </row>
    <row r="1453" spans="6:6" x14ac:dyDescent="0.35">
      <c r="F1453" t="s">
        <v>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Khaarendiwe Mulaudzi</dc:creator>
  <cp:lastModifiedBy>Khaarendiwe Mulaudzi</cp:lastModifiedBy>
  <dcterms:created xsi:type="dcterms:W3CDTF">2026-04-06T17:04:06Z</dcterms:created>
  <dcterms:modified xsi:type="dcterms:W3CDTF">2026-04-07T06:29:11Z</dcterms:modified>
</cp:coreProperties>
</file>